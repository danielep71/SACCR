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 codeName="{37E998C4-C9E5-D4B9-71C8-EB1FF731991C}"/>
  <workbookPr codeName="ThisWorkbook" defaultThemeVersion="124226"/>
  <bookViews>
    <workbookView xWindow="240" yWindow="15" windowWidth="24000" windowHeight="15000"/>
  </bookViews>
  <sheets>
    <sheet name="README" sheetId="1" r:id="rId1"/>
    <sheet name="Params" sheetId="2" r:id="rId2"/>
    <sheet name="NettingSets" sheetId="3" r:id="rId3"/>
    <sheet name="Trades" sheetId="4" r:id="rId4"/>
    <sheet name="Results" sheetId="5" r:id="rId5"/>
    <sheet name="HedgingSets" sheetId="6" r:id="rId6"/>
    <sheet name="Buckets" sheetId="7" r:id="rId7"/>
    <sheet name="TradeCalc" sheetId="8" r:id="rId8"/>
    <sheet name="Checks" sheetId="9" r:id="rId9"/>
    <sheet name="TestCatalogue" sheetId="10" r:id="rId10"/>
    <sheet name="Tests" sheetId="11" r:id="rId11"/>
    <sheet name="Basel_vs_CRR" sheetId="12" r:id="rId12"/>
  </sheets>
  <definedNames>
    <definedName name="_xlnm._FilterDatabase" localSheetId="11" hidden="1">Basel_vs_CRR!$A$4:$I$29</definedName>
    <definedName name="_xlnm._FilterDatabase" localSheetId="3" hidden="1">Trades!$A$4:$X$69</definedName>
    <definedName name="Alpha">Params!$C$7</definedName>
    <definedName name="AsOfDate">Params!$C$5</definedName>
    <definedName name="BasisFactor">Params!$C$16</definedName>
    <definedName name="BusinessDaysPerYear">Params!$C$10</definedName>
    <definedName name="DaysPerYear">Params!$C$9</definedName>
    <definedName name="FX_Table">Params!$A$56:$C$61</definedName>
    <definedName name="IRBucketOffset">Params!$C$21</definedName>
    <definedName name="IRCorrBucket12">Params!$C$18</definedName>
    <definedName name="IRCorrBucket13">Params!$C$20</definedName>
    <definedName name="IRCorrBucket23">Params!$C$19</definedName>
    <definedName name="LambdaThresholdCO">Params!$C$24</definedName>
    <definedName name="LambdaThresholdIR">Params!$C$23</definedName>
    <definedName name="MinMaturityBD">Params!$C$11</definedName>
    <definedName name="MPORFloorBilateral">Params!$C$13</definedName>
    <definedName name="MPORFloorCleared">Params!$C$14</definedName>
    <definedName name="MPORFloorLarge">Params!$C$15</definedName>
    <definedName name="MultiplierFloor">Params!$C$8</definedName>
    <definedName name="Regime">Params!$C$22</definedName>
    <definedName name="ReportingCcy">Params!$C$6</definedName>
    <definedName name="SACCR_RunInputs" hidden="1">""</definedName>
    <definedName name="SDFloorBD">Params!$C$12</definedName>
    <definedName name="SF_Table">Params!$A$27:$I$53</definedName>
    <definedName name="VolatilityFactor">Params!$C$17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<sst xmlns="http://schemas.openxmlformats.org/spreadsheetml/2006/main" count="2814" uniqueCount="943">
  <si>
    <t>SA-CCR Calculator</t>
  </si>
  <si>
    <t>Standardised approach for counterparty credit risk - common Basel CRE52 core with an EU CRR (Art. 274-280f) rules layer. VBA engine v1.1.0.</t>
  </si>
  <si>
    <t>How to use</t>
  </si>
  <si>
    <t>1. Enable macros</t>
  </si>
  <si>
    <t>Open the .xlsm, click "Enable Content". If Excel shows "Microsoft has blocked macros", close the file, right-click it &gt; Properties &gt; tick "Unblock", reopen.</t>
  </si>
  <si>
    <t>2. Parameters</t>
  </si>
  <si>
    <t>Params: reporting date, reporting currency, default Regime (CRR or BCBS), regulatory constants, supervisory table and FX rates (units of reporting currency per 1 unit). Yellow cells are inputs.</t>
  </si>
  <si>
    <t>3. Netting sets</t>
  </si>
  <si>
    <t>NettingSets: one row per netting set - margin agreement flags, MPOR drivers, collateral (net VM held, NICA), threshold, MTA and an optional Regime override. Collateral is entered after haircuts, in reporting currency.</t>
  </si>
  <si>
    <t>4. Trades</t>
  </si>
  <si>
    <t>Trades: one row per derivative. Dropdowns guide the classification. Amounts can be in any currency of the FX table.</t>
  </si>
  <si>
    <t>5. Run</t>
  </si>
  <si>
    <t>Click "Run SA-CCR" (macro RunSACCR). Results, HedgingSets, Buckets, TradeCalc and Checks are rebuilt. "Validate inputs" only runs the checks.</t>
  </si>
  <si>
    <t>6. Review</t>
  </si>
  <si>
    <t>Checks lists every excluded trade and warning. TestCatalogue compares the engine with published / hand-calculated reference values per regime; Tests unit-tests the formula functions.</t>
  </si>
  <si>
    <t>7. Regime</t>
  </si>
  <si>
    <t>Basel_vs_CRR lists every difference between CRE52 and the CRR, the source check status and how the workbook treats it. Regime-dependent rules are switched per netting set.</t>
  </si>
  <si>
    <t>Sign and input conventions</t>
  </si>
  <si>
    <t>Direction</t>
  </si>
  <si>
    <t>Long / Short in the primary risk factor. IR: Long = pay fixed (gains when rates rise). FX: Long = long the first currency of the pair. CR: Long = protection bought (as in the BCBS examples). EQ / CO: Long = long the underlying. Options: Long = bought.</t>
  </si>
  <si>
    <t>Sub-class</t>
  </si>
  <si>
    <t>IR, FX, OT: leave blank. CR: AAA ... CCC or CQS1 ... CQS6, IG_INDEX, SG_INDEX. EQ: SINGLE, INDEX. CO: ELECTRICITY, OIL_GAS, METALS, AGRICULTURAL, OTHER, CLIMATIC (CRR only). Asset class + "_" + sub-class must exist in the supervisory table; column "Regimes" restricts a row.</t>
  </si>
  <si>
    <t>Risk factor</t>
  </si>
  <si>
    <t>IR: currency (hedging set). FX: currency pair, e.g. EUR/USD (order is normalised and the sign adjusted). CR / EQ: reference entity or index name. CO: commodity type (trades with the same text are netted as one type). OT (CRR other risks): primary risk driver.</t>
  </si>
  <si>
    <t>Notional</t>
  </si>
  <si>
    <t>Positive amount; the sign comes from Direction. IR / CR: trade notional. FX: foreign-currency leg converted to reporting ccy. EQ / CO: market price x units.</t>
  </si>
  <si>
    <t>Dates</t>
  </si>
  <si>
    <t>Start (S, IR/CR only, blank = already started), End (E, IR/CR, also defines the IR maturity bucket), Maturity (M, maturity factor; defaults to End, then Expiry), Option expiry (T, options). Year fractions = days / DaysPerYear.</t>
  </si>
  <si>
    <t>Nature</t>
  </si>
  <si>
    <t>Standard, Basis (own hedging set per label, SF x 0.5, CRE52.46) or Volatility (own hedging set per label, SF x 5, CRE52.47).</t>
  </si>
  <si>
    <t>Options</t>
  </si>
  <si>
    <t>Underlying price P, strike K, supervisory vol from the table. Lambda: under CRR computed for IR and commodity options (Del. Reg. 2021/931 Art. 5); under BCBS taken from the trade (CRE52.40 FAQ). CDO: attachment A and detachment D as decimals.</t>
  </si>
  <si>
    <t>Methodology (per netting set)</t>
  </si>
  <si>
    <t>EAD</t>
  </si>
  <si>
    <t>EAD = alpha x (RC + PFE)  [CRE52.1 / Art. 274(2)]; margined EAD capped at the unmargined EAD: BCBS with C = VM + NICA [CRE52.2]; CRR with NICA only [Art. 274(3), EBA Q&amp;A 2023_6962]</t>
  </si>
  <si>
    <t>RC</t>
  </si>
  <si>
    <t>Unmargined: max(V - C, 0) [CRE52.10]   Margined: max(V - C, TH + MTA - NICA, 0) [CRE52.18]   C = VM + NICA</t>
  </si>
  <si>
    <t>PFE</t>
  </si>
  <si>
    <t>PFE = multiplier x AddOn;  multiplier = min(1, 5% + 95% x exp((V - C) / (2 x 95% x AddOn))) [CRE52.23]</t>
  </si>
  <si>
    <t>Trade level</t>
  </si>
  <si>
    <t>Effective notional = delta x d x MF.  d = notional x SD for IR/CR, SD = (e^-0.05S - e^-0.05E)/0.05, floored at 10 BD [CRE52.34]</t>
  </si>
  <si>
    <t>Maturity factor</t>
  </si>
  <si>
    <t>Unmargined: sqrt(min(max(M, 10 BD), 1y)) [CRE52.48]; margined: 1.5 x sqrt(MPOR/250) [CRE52.52]</t>
  </si>
  <si>
    <t>MPOR</t>
  </si>
  <si>
    <t>Floor 10 BD bilateral, 20 BD if &gt; 5,000 trades or illiquid collateral, configurable floor for cleared; + (N - 1) for remargining every N days; doubled for disputes [CRE52.50-52.52]</t>
  </si>
  <si>
    <t>IR</t>
  </si>
  <si>
    <t>Hedging set per currency; buckets &lt;1y, 1-5y, &gt;5y on E; EN = sqrt(D1^2+D2^2+D3^2+1.4D1D2+1.4D2D3+0.6D1D3); AddOn = 0.5% x EN [CRE52.57]</t>
  </si>
  <si>
    <t>FX</t>
  </si>
  <si>
    <t>Hedging set per currency pair; AddOn = 4% x |sum effective notional| [CRE52.59]</t>
  </si>
  <si>
    <t>CR / EQ</t>
  </si>
  <si>
    <t>Entity add-on = SF x EN; AddOn = sqrt((sum rho x A)^2 + sum (1-rho^2) x A^2) [CRE52.61, 52.66]</t>
  </si>
  <si>
    <t>CO</t>
  </si>
  <si>
    <t>Hedging sets Energy (oil/gas + electricity), Metals, Agricultural, Other (+ Climatic under CRR); single-factor formula, rho = 40% [CRE52.70, Art. 277a]</t>
  </si>
  <si>
    <t>OT (CRR)</t>
  </si>
  <si>
    <t>Other risks: per hedging set AddOn = 8% x |sum effective notional| [Art. 280f]</t>
  </si>
  <si>
    <t>Sheets</t>
  </si>
  <si>
    <t>Params</t>
  </si>
  <si>
    <t>Inputs - parameters, supervisory factors, FX rates</t>
  </si>
  <si>
    <t>NettingSets</t>
  </si>
  <si>
    <t>Inputs - netting sets and margin terms</t>
  </si>
  <si>
    <t>Trades</t>
  </si>
  <si>
    <t>Inputs - trade population</t>
  </si>
  <si>
    <t>Results</t>
  </si>
  <si>
    <t>Output - EAD per netting set and total</t>
  </si>
  <si>
    <t>HedgingSets</t>
  </si>
  <si>
    <t>Output - hedging-set effective notionals and add-ons</t>
  </si>
  <si>
    <t>Buckets</t>
  </si>
  <si>
    <t>Output - IR maturity buckets, FX pairs, credit/equity entities, commodity types</t>
  </si>
  <si>
    <t>TradeCalc</t>
  </si>
  <si>
    <t>Output - every trade-level intermediate (S, E, M, T, SD, d, delta, MF, effective notional)</t>
  </si>
  <si>
    <t>Checks</t>
  </si>
  <si>
    <t>Output - validation errors (trade excluded) and warnings</t>
  </si>
  <si>
    <t>TestCatalogue</t>
  </si>
  <si>
    <t>Regression - reference tests with source, regime, expected value and tolerance</t>
  </si>
  <si>
    <t>Tests</t>
  </si>
  <si>
    <t>Unit tests of the SACCR_* worksheet functions</t>
  </si>
  <si>
    <t>Basel_vs_CRR</t>
  </si>
  <si>
    <t>Documentation - Basel CRE52 vs EU CRR differences and workbook treatment</t>
  </si>
  <si>
    <t>Worksheet functions (usable in any cell)</t>
  </si>
  <si>
    <t>SACCR_SupervisoryDuration(S, E, [Floor])</t>
  </si>
  <si>
    <t>Supervisory duration</t>
  </si>
  <si>
    <t>SACCR_MaturityFactor(M, [Margined], [MPOR], [MinBD], [BDYear])</t>
  </si>
  <si>
    <t>SACCR_OptionDelta(P, K, T, Vol, IsCall, IsBought, [Lambda])</t>
  </si>
  <si>
    <t>Supervisory option delta</t>
  </si>
  <si>
    <t>SACCR_LambdaCRR(P, K, IsInterestRate, [Threshold])</t>
  </si>
  <si>
    <t>EU RTS lambda shift for IR / commodity options</t>
  </si>
  <si>
    <t>SACCR_CDODelta(A, D, IsLong)</t>
  </si>
  <si>
    <t>CDO tranche delta</t>
  </si>
  <si>
    <t>SACCR_IREffectiveNotional(D1, D2, D3, [r12], [r23], [r13])</t>
  </si>
  <si>
    <t>IR hedging-set effective notional</t>
  </si>
  <si>
    <t>SACCR_FactorAggregation(AddOns, Rhos)</t>
  </si>
  <si>
    <t>Credit / equity / commodity aggregation</t>
  </si>
  <si>
    <t>SACCR_Multiplier(V-C, AddOn, [Floor])</t>
  </si>
  <si>
    <t>PFE multiplier</t>
  </si>
  <si>
    <t>SACCR_ReplacementCost(V, C, [Margined], [TH], [MTA], [NICA])</t>
  </si>
  <si>
    <t>Replacement cost</t>
  </si>
  <si>
    <t>SACCR_NormCDF(x)</t>
  </si>
  <si>
    <t>Standard normal CDF (no WorksheetFunction dependency)</t>
  </si>
  <si>
    <t>Scope and limitations</t>
  </si>
  <si>
    <t>Not covered</t>
  </si>
  <si>
    <t>Simplified SA-CCR and OEM (CRR Art. 281-282); collateral haircuts (enter C after haircuts); several margin agreements in one netting set, or one agreement over several netting sets; automatic risk-driver mapping (RTS 2021/931); sold-option / unpaid-premium caps; SFTs; CVA, RWA.</t>
  </si>
  <si>
    <t>Open items</t>
  </si>
  <si>
    <t>CRR SF for climatic conditions (Art. 280e) is a placeholder (18%) until confirmed; unrated credit mapping (Art. 280c) is left to the user.</t>
  </si>
  <si>
    <t>Collateral</t>
  </si>
  <si>
    <t>VM and NICA are netting-set totals in reporting currency; positive = held, negative = posted.</t>
  </si>
  <si>
    <t>Unmargined cap</t>
  </si>
  <si>
    <t>Unmargined maturity factors; collateral basis per regime (see Results columns X-AA).</t>
  </si>
  <si>
    <t>Calendar</t>
  </si>
  <si>
    <t>Business-day amounts (MPOR, floors) use 250 BD per year; dates use DaysPerYear.</t>
  </si>
  <si>
    <t>Sample data</t>
  </si>
  <si>
    <t>Illustrative counterparties and FX rates. BCBS-EX1..5 reproduce CRE99 / BCBS 279 Annex 4 (amounts in thousands); CRR-* and BCBS-* fixtures feed the TestCatalogue.</t>
  </si>
  <si>
    <t>Code</t>
  </si>
  <si>
    <t>Modules</t>
  </si>
  <si>
    <t>M_Main (macros), CORE_Engine (calculation), SACCR_Formulas (public SACCR_* functions), CORE_Config (layout constants), CORE_Util (helpers). No external references: no Scripting.Dictionary, no WorksheetFunction - runs on Windows and Mac, 32 and 64 bit.</t>
  </si>
  <si>
    <t>Parameters</t>
  </si>
  <si>
    <t>Codes in column A are read by the engine; only the yellow values are meant to be changed.</t>
  </si>
  <si>
    <t>Description</t>
  </si>
  <si>
    <t>Value</t>
  </si>
  <si>
    <t>Reference</t>
  </si>
  <si>
    <t>AsOfDate</t>
  </si>
  <si>
    <t>Reporting (calculation) date</t>
  </si>
  <si>
    <t>ReportingCcy</t>
  </si>
  <si>
    <t>Reporting currency (all amounts converted into it)</t>
  </si>
  <si>
    <t>EUR</t>
  </si>
  <si>
    <t>Alpha</t>
  </si>
  <si>
    <t>Alpha multiplier on (RC + PFE)</t>
  </si>
  <si>
    <t>CRE52.1 / CRR Art. 274(2)</t>
  </si>
  <si>
    <t>MultiplierFloor</t>
  </si>
  <si>
    <t>Floor of the PFE multiplier</t>
  </si>
  <si>
    <t>CRE52.23</t>
  </si>
  <si>
    <t>DaysPerYear</t>
  </si>
  <si>
    <t>Calendar days per year for S, E, M, T</t>
  </si>
  <si>
    <t>BusinessDaysPerYear</t>
  </si>
  <si>
    <t>Business days per year (MPOR, floors)</t>
  </si>
  <si>
    <t>CRE52.48, 52.52</t>
  </si>
  <si>
    <t>MinMaturityBD</t>
  </si>
  <si>
    <t>Floor on M for the unmargined maturity factor (BD)</t>
  </si>
  <si>
    <t>CRE52.48</t>
  </si>
  <si>
    <t>SDFloorBD</t>
  </si>
  <si>
    <t>Floor on the supervisory duration (BD, 0 = none)</t>
  </si>
  <si>
    <t>CRE52.34 / CRR Art. 279b</t>
  </si>
  <si>
    <t>MPORFloorBilateral</t>
  </si>
  <si>
    <t>MPOR floor, bilateral daily-margined netting set (BD)</t>
  </si>
  <si>
    <t>CRE52.50</t>
  </si>
  <si>
    <t>MPORFloorCleared</t>
  </si>
  <si>
    <t>MPOR floor, cleared client trades (BD)</t>
  </si>
  <si>
    <t>CRE54 - configurable</t>
  </si>
  <si>
    <t>MPORFloorLarge</t>
  </si>
  <si>
    <t>MPOR floor, &gt;5,000 trades or illiquid collateral (BD)</t>
  </si>
  <si>
    <t>BasisFactor</t>
  </si>
  <si>
    <t>Supervisory factor multiplier for basis transactions</t>
  </si>
  <si>
    <t>CRE52.46</t>
  </si>
  <si>
    <t>VolatilityFactor</t>
  </si>
  <si>
    <t>Supervisory factor multiplier for volatility transactions</t>
  </si>
  <si>
    <t>CRE52.47</t>
  </si>
  <si>
    <t>IRCorrBucket12</t>
  </si>
  <si>
    <t>IR correlation bucket 1-2 (cross term 2 x 0.7 = 1.4)</t>
  </si>
  <si>
    <t>CRE52.57</t>
  </si>
  <si>
    <t>IRCorrBucket23</t>
  </si>
  <si>
    <t>IR correlation bucket 2-3 (cross term 1.4)</t>
  </si>
  <si>
    <t>IRCorrBucket13</t>
  </si>
  <si>
    <t>IR correlation bucket 1-3 (cross term 0.6)</t>
  </si>
  <si>
    <t>IRBucketOffset</t>
  </si>
  <si>
    <t>TRUE = bucket formula; FALSE = sum of absolute bucket values</t>
  </si>
  <si>
    <t>CRE52.57 / CRR Art. 280a</t>
  </si>
  <si>
    <t>Regime</t>
  </si>
  <si>
    <t>Default regime: CRR (EU) or BCBS (Basel CRE52); override per netting set</t>
  </si>
  <si>
    <t>CRR</t>
  </si>
  <si>
    <t>see Basel_vs_CRR sheet</t>
  </si>
  <si>
    <t>LambdaThresholdIR</t>
  </si>
  <si>
    <t>CRR lambda threshold, IR options (shift = max(thr - min(P,K), 0))</t>
  </si>
  <si>
    <t>Del. Reg. 2021/931 Art. 5 (am. 2025/855)</t>
  </si>
  <si>
    <t>LambdaThresholdCO</t>
  </si>
  <si>
    <t>CRR lambda threshold, commodity options (shift = max(-(1+thr) min(P,K), 0))</t>
  </si>
  <si>
    <t>CRR = EU regime; BCBS = Basel CRE52</t>
  </si>
  <si>
    <t>Supervisory parameters (CRE52.72 / CRR Art. 279a, 280a-280f)</t>
  </si>
  <si>
    <t>SF_Key</t>
  </si>
  <si>
    <t>Asset class</t>
  </si>
  <si>
    <t>Category</t>
  </si>
  <si>
    <t>Supervisory factor</t>
  </si>
  <si>
    <t>Correlation</t>
  </si>
  <si>
    <t>Supervisory option vol</t>
  </si>
  <si>
    <t>Commodity hedging set</t>
  </si>
  <si>
    <t>Regimes</t>
  </si>
  <si>
    <t>BOTH</t>
  </si>
  <si>
    <t>CRE52.72 / CRR Art. 280a</t>
  </si>
  <si>
    <t>CRE52.72 / CRR Art. 280b</t>
  </si>
  <si>
    <t>CR_AAA</t>
  </si>
  <si>
    <t>CR</t>
  </si>
  <si>
    <t>AAA</t>
  </si>
  <si>
    <t>CRE52.72</t>
  </si>
  <si>
    <t>CR_AA</t>
  </si>
  <si>
    <t>AA</t>
  </si>
  <si>
    <t>CR_A</t>
  </si>
  <si>
    <t>A</t>
  </si>
  <si>
    <t>CR_BBB</t>
  </si>
  <si>
    <t>BBB</t>
  </si>
  <si>
    <t>CR_BB</t>
  </si>
  <si>
    <t>BB</t>
  </si>
  <si>
    <t>CR_B</t>
  </si>
  <si>
    <t>B</t>
  </si>
  <si>
    <t>CR_CCC</t>
  </si>
  <si>
    <t>CCC</t>
  </si>
  <si>
    <t>CR_CQS1</t>
  </si>
  <si>
    <t>CQS1</t>
  </si>
  <si>
    <t>CRR Art. 280c Table 3</t>
  </si>
  <si>
    <t>CR_CQS2</t>
  </si>
  <si>
    <t>CQS2</t>
  </si>
  <si>
    <t>CR_CQS3</t>
  </si>
  <si>
    <t>CQS3</t>
  </si>
  <si>
    <t>CR_CQS4</t>
  </si>
  <si>
    <t>CQS4</t>
  </si>
  <si>
    <t>CR_CQS5</t>
  </si>
  <si>
    <t>CQS5</t>
  </si>
  <si>
    <t>CR_CQS6</t>
  </si>
  <si>
    <t>CQS6</t>
  </si>
  <si>
    <t>CR_IG_INDEX</t>
  </si>
  <si>
    <t>IG_INDEX</t>
  </si>
  <si>
    <t>CRE52.72 / CRR Art. 280c Table 4</t>
  </si>
  <si>
    <t>CR_SG_INDEX</t>
  </si>
  <si>
    <t>SG_INDEX</t>
  </si>
  <si>
    <t>EQ_SINGLE</t>
  </si>
  <si>
    <t>EQ</t>
  </si>
  <si>
    <t>SINGLE</t>
  </si>
  <si>
    <t>CRE52.72 / CRR Art. 280d</t>
  </si>
  <si>
    <t>EQ_INDEX</t>
  </si>
  <si>
    <t>INDEX</t>
  </si>
  <si>
    <t>CO_ELECTRICITY</t>
  </si>
  <si>
    <t>ELECTRICITY</t>
  </si>
  <si>
    <t>ENERGY</t>
  </si>
  <si>
    <t>CO_OIL_GAS</t>
  </si>
  <si>
    <t>OIL_GAS</t>
  </si>
  <si>
    <t>CO_METALS</t>
  </si>
  <si>
    <t>METALS</t>
  </si>
  <si>
    <t>CO_AGRICULTURAL</t>
  </si>
  <si>
    <t>AGRICULTURAL</t>
  </si>
  <si>
    <t>CO_OTHER</t>
  </si>
  <si>
    <t>OTHER</t>
  </si>
  <si>
    <t>CO_CLIMATIC</t>
  </si>
  <si>
    <t>CLIMATIC</t>
  </si>
  <si>
    <t>CRR Art. 277(4)(b), 277a - SF NOT VERIFIED: confirm against Art. 280e</t>
  </si>
  <si>
    <t>OT</t>
  </si>
  <si>
    <t>CRR Art. 280f (SF 8%), 279a Table 1 (vol 150%)</t>
  </si>
  <si>
    <t>FX rates (illustrative - replace with market rates)</t>
  </si>
  <si>
    <t>FX_Ccy</t>
  </si>
  <si>
    <t>Currency</t>
  </si>
  <si>
    <t>Units of reporting ccy per 1 unit</t>
  </si>
  <si>
    <t>Euro</t>
  </si>
  <si>
    <t>USD</t>
  </si>
  <si>
    <t>US dollar</t>
  </si>
  <si>
    <t>GBP</t>
  </si>
  <si>
    <t>Pound sterling</t>
  </si>
  <si>
    <t>JPY</t>
  </si>
  <si>
    <t>Japanese yen</t>
  </si>
  <si>
    <t>CHF</t>
  </si>
  <si>
    <t>Swiss franc</t>
  </si>
  <si>
    <t>Add currencies directly below the last row (no blank rows in column A).</t>
  </si>
  <si>
    <t>Netting sets</t>
  </si>
  <si>
    <t>One row per legally enforceable netting set. Collateral after haircuts, reporting currency; VM / NICA positive = held, negative = posted.</t>
  </si>
  <si>
    <t>NettingSetID</t>
  </si>
  <si>
    <t>Counterparty</t>
  </si>
  <si>
    <t>Margined (Y/N)</t>
  </si>
  <si>
    <t>Centrally cleared (Y/N)</t>
  </si>
  <si>
    <t>Remargin frequency N (BD)</t>
  </si>
  <si>
    <t>&gt;5,000 trades or illiquid collateral (Y/N)</t>
  </si>
  <si>
    <t>Margin disputes (Y/N)</t>
  </si>
  <si>
    <t>MPOR override (BD)</t>
  </si>
  <si>
    <t>Net VM held (+) / posted (-)</t>
  </si>
  <si>
    <t>NICA</t>
  </si>
  <si>
    <t>Threshold TH</t>
  </si>
  <si>
    <t>MTA</t>
  </si>
  <si>
    <t>Alpha override</t>
  </si>
  <si>
    <t>Regime override (blank = Params)</t>
  </si>
  <si>
    <t>BCBS-EX1</t>
  </si>
  <si>
    <t>CRE99 / BCBS 279 Annex 4 - example 1 (IR)</t>
  </si>
  <si>
    <t>N</t>
  </si>
  <si>
    <t>BCBS</t>
  </si>
  <si>
    <t>BCBS-EX2</t>
  </si>
  <si>
    <t>CRE99 / BCBS 279 Annex 4 - example 2 (credit)</t>
  </si>
  <si>
    <t>BCBS-EX3</t>
  </si>
  <si>
    <t>CRE99 / BCBS 279 Annex 4 - example 3 (commodity)</t>
  </si>
  <si>
    <t>BCBS-EX4</t>
  </si>
  <si>
    <t>CRE99 / BCBS 279 Annex 4 - example 4 (IR + credit)</t>
  </si>
  <si>
    <t>BCBS-EX5</t>
  </si>
  <si>
    <t>CRE99 / BCBS 279 Annex 4 - example 5 (IR + commodity, weekly margin)</t>
  </si>
  <si>
    <t>Y</t>
  </si>
  <si>
    <t>CRR-EX5</t>
  </si>
  <si>
    <t>Example 5 inputs under CRR (cap not binding: same EAD)</t>
  </si>
  <si>
    <t>BCBS-VMCAP</t>
  </si>
  <si>
    <t>Posted-VM scenario after EBA Q&amp;A 2022_6354 - Basel cap</t>
  </si>
  <si>
    <t>CRR-VMCAP</t>
  </si>
  <si>
    <t>Posted-VM scenario after EBA Q&amp;A 2022_6354 - CRR Art. 274(3) cap</t>
  </si>
  <si>
    <t>CRR-EX1-1PCT</t>
  </si>
  <si>
    <t>Example 1 with swaption forward at 1% (EBA RTS scenario)</t>
  </si>
  <si>
    <t>CRR-NEGIR</t>
  </si>
  <si>
    <t>Receiver swaption, negative forward rate - RTS lambda</t>
  </si>
  <si>
    <t>BCBS-NEGIR</t>
  </si>
  <si>
    <t>Same swaption under BCBS without lambda - must be rejected</t>
  </si>
  <si>
    <t>CRR-NEGCO</t>
  </si>
  <si>
    <t>Commodity call, negative price and strike - RTS lambda</t>
  </si>
  <si>
    <t>CRR-OTHER</t>
  </si>
  <si>
    <t>Other risks category (Art. 280f) - hand-checkable</t>
  </si>
  <si>
    <t>CRR-CLIMATE</t>
  </si>
  <si>
    <t>Climatic-conditions hedging set (Art. 277a) - SF to confirm</t>
  </si>
  <si>
    <t>NS-ALPHA</t>
  </si>
  <si>
    <t>Alpha Bank plc (no CSA)</t>
  </si>
  <si>
    <t>NS-GAMMA</t>
  </si>
  <si>
    <t>Gamma Fund Ltd (daily CSA + IM)</t>
  </si>
  <si>
    <t>One row per trade, from row 5. Blank TradeID = row ignored.</t>
  </si>
  <si>
    <t>TradeID</t>
  </si>
  <si>
    <t>Risk factor / reference</t>
  </si>
  <si>
    <t>Instrument</t>
  </si>
  <si>
    <t>Option type</t>
  </si>
  <si>
    <t>Basis / vol hedging-set label</t>
  </si>
  <si>
    <t>Notional ccy</t>
  </si>
  <si>
    <t>MtM</t>
  </si>
  <si>
    <t>MtM ccy</t>
  </si>
  <si>
    <t>Start date (S)</t>
  </si>
  <si>
    <t>End date (E)</t>
  </si>
  <si>
    <t>Maturity date (M)</t>
  </si>
  <si>
    <t>Option expiry (T)</t>
  </si>
  <si>
    <t>Underlying price P</t>
  </si>
  <si>
    <t>Strike K</t>
  </si>
  <si>
    <t>Lambda shift</t>
  </si>
  <si>
    <t>Attachment A</t>
  </si>
  <si>
    <t>Detachment D</t>
  </si>
  <si>
    <t>Comment</t>
  </si>
  <si>
    <t>unique</t>
  </si>
  <si>
    <t>must exist on NettingSets</t>
  </si>
  <si>
    <t>IR FX CR EQ CO OT</t>
  </si>
  <si>
    <t>blank for IR/FX/OT; see README</t>
  </si>
  <si>
    <t>IR: ccy; FX: pair; CR/EQ: name; CO: type</t>
  </si>
  <si>
    <t>Linear / Option / CDO</t>
  </si>
  <si>
    <t>Long / Short</t>
  </si>
  <si>
    <t>Call / Put</t>
  </si>
  <si>
    <t>Standard / Basis / Volatility</t>
  </si>
  <si>
    <t>basis &amp; vol only</t>
  </si>
  <si>
    <t>positive</t>
  </si>
  <si>
    <t>signed</t>
  </si>
  <si>
    <t>default = notional ccy</t>
  </si>
  <si>
    <t>IR/CR; blank = started</t>
  </si>
  <si>
    <t>IR/CR</t>
  </si>
  <si>
    <t>default = end</t>
  </si>
  <si>
    <t>options</t>
  </si>
  <si>
    <t>BCBS only</t>
  </si>
  <si>
    <t>CDO</t>
  </si>
  <si>
    <t>EX1-T1</t>
  </si>
  <si>
    <t>Linear</t>
  </si>
  <si>
    <t>Long</t>
  </si>
  <si>
    <t>Standard</t>
  </si>
  <si>
    <t>10y IRS pay fixed - Basel ex.1 trade 1</t>
  </si>
  <si>
    <t>EX1-T2</t>
  </si>
  <si>
    <t>Short</t>
  </si>
  <si>
    <t>4y IRS receive fixed - Basel ex.1 trade 2</t>
  </si>
  <si>
    <t>EX1-T3</t>
  </si>
  <si>
    <t>Option</t>
  </si>
  <si>
    <t>Put</t>
  </si>
  <si>
    <t>Bought 1y-into-10y receiver swaption - Basel ex.1 trade 3</t>
  </si>
  <si>
    <t>EX2-T1</t>
  </si>
  <si>
    <t>FIRM A</t>
  </si>
  <si>
    <t>3y CDS protection bought</t>
  </si>
  <si>
    <t>EX2-T2</t>
  </si>
  <si>
    <t>FIRM B</t>
  </si>
  <si>
    <t>6y CDS protection sold</t>
  </si>
  <si>
    <t>EX2-T3</t>
  </si>
  <si>
    <t>CDX.IG</t>
  </si>
  <si>
    <t>5y index CDS protection bought</t>
  </si>
  <si>
    <t>EX3-T1</t>
  </si>
  <si>
    <t>CRUDE OIL</t>
  </si>
  <si>
    <t>9m WTI forward (Basel treats WTI and Brent as one type)</t>
  </si>
  <si>
    <t>EX3-T2</t>
  </si>
  <si>
    <t>2y Brent forward</t>
  </si>
  <si>
    <t>EX3-T3</t>
  </si>
  <si>
    <t>SILVER</t>
  </si>
  <si>
    <t>5y silver forward</t>
  </si>
  <si>
    <t>EX4-IRT1</t>
  </si>
  <si>
    <t>EX4-IRT2</t>
  </si>
  <si>
    <t>EX4-IRT3</t>
  </si>
  <si>
    <t>EX4-CRT1</t>
  </si>
  <si>
    <t>EX4-CRT2</t>
  </si>
  <si>
    <t>EX4-CRT3</t>
  </si>
  <si>
    <t>EX5-IRT1</t>
  </si>
  <si>
    <t>EX5-IRT2</t>
  </si>
  <si>
    <t>EX5-IRT3</t>
  </si>
  <si>
    <t>EX5-COT1</t>
  </si>
  <si>
    <t>EX5-COT2</t>
  </si>
  <si>
    <t>EX5-COT3</t>
  </si>
  <si>
    <t>EU5-IRT1</t>
  </si>
  <si>
    <t>EU5-IRT2</t>
  </si>
  <si>
    <t>EU5-IRT3</t>
  </si>
  <si>
    <t>EU5-COT1</t>
  </si>
  <si>
    <t>EU5-COT2</t>
  </si>
  <si>
    <t>EU5-COT3</t>
  </si>
  <si>
    <t>EU1P-T1</t>
  </si>
  <si>
    <t>EU1P-T2</t>
  </si>
  <si>
    <t>EU1P-T3</t>
  </si>
  <si>
    <t>Swaption with forward 1% (strike 5%)</t>
  </si>
  <si>
    <t>VMB-1</t>
  </si>
  <si>
    <t>10y IRS, MtM -1.1bn, VM posted 1.3bn</t>
  </si>
  <si>
    <t>VMC-1</t>
  </si>
  <si>
    <t>NIR-C</t>
  </si>
  <si>
    <t>CRR: lambda = 0.10% - (-0.20%) = 0.30%; BCBS: no lambda entered -&gt; rejected</t>
  </si>
  <si>
    <t>NIR-B</t>
  </si>
  <si>
    <t>NCO-1</t>
  </si>
  <si>
    <t>WTI</t>
  </si>
  <si>
    <t>Call</t>
  </si>
  <si>
    <t>lambda = -(1+0.1) x (-5) = 5.5</t>
  </si>
  <si>
    <t>OT-1</t>
  </si>
  <si>
    <t>LONGEVITY INDEX X</t>
  </si>
  <si>
    <t>Longevity swap - other risks category</t>
  </si>
  <si>
    <t>OT-2</t>
  </si>
  <si>
    <t>Same risk driver - same hedging set</t>
  </si>
  <si>
    <t>OT-3</t>
  </si>
  <si>
    <t>CAT LOSS INDEX Y</t>
  </si>
  <si>
    <t>Different risk driver - own hedging set</t>
  </si>
  <si>
    <t>OT-X</t>
  </si>
  <si>
    <t>Other risks in a BCBS netting set - must be rejected</t>
  </si>
  <si>
    <t>CL-1</t>
  </si>
  <si>
    <t>HDD LONDON</t>
  </si>
  <si>
    <t>Heating-degree-day swap</t>
  </si>
  <si>
    <t>A01</t>
  </si>
  <si>
    <t>7y EUR IRS pay fixed</t>
  </si>
  <si>
    <t>A02</t>
  </si>
  <si>
    <t>2y EUR IRS receive fixed</t>
  </si>
  <si>
    <t>A03</t>
  </si>
  <si>
    <t>12y USD IRS receive fixed</t>
  </si>
  <si>
    <t>A04</t>
  </si>
  <si>
    <t>Basis</t>
  </si>
  <si>
    <t>EURIBOR6M/ESTR</t>
  </si>
  <si>
    <t>5y basis swap - own hedging set, SF x 0.5</t>
  </si>
  <si>
    <t>A05</t>
  </si>
  <si>
    <t>Bought 2y-into-5y payer swaption</t>
  </si>
  <si>
    <t>A06</t>
  </si>
  <si>
    <t>1y-forward-starting 3y IRS receive fixed</t>
  </si>
  <si>
    <t>A07</t>
  </si>
  <si>
    <t>EUR/USD</t>
  </si>
  <si>
    <t>1y FX forward: sell EUR / buy USD 25m</t>
  </si>
  <si>
    <t>A08</t>
  </si>
  <si>
    <t>USD/JPY</t>
  </si>
  <si>
    <t>Bought 6m USD call / JPY put</t>
  </si>
  <si>
    <t>A09</t>
  </si>
  <si>
    <t>USDGBP</t>
  </si>
  <si>
    <t>6m forward long USD vs GBP - pair entered inverted on purpose</t>
  </si>
  <si>
    <t>A10</t>
  </si>
  <si>
    <t>9m GBP swap - bucket 1, MF &lt; 1</t>
  </si>
  <si>
    <t>A11</t>
  </si>
  <si>
    <t>Deliberate input error: matured trade, shows exclusion on Checks</t>
  </si>
  <si>
    <t>B01</t>
  </si>
  <si>
    <t>ACME SPA</t>
  </si>
  <si>
    <t>5y CDS protection bought</t>
  </si>
  <si>
    <t>B02</t>
  </si>
  <si>
    <t>3y CDS protection sold - same entity</t>
  </si>
  <si>
    <t>B03</t>
  </si>
  <si>
    <t>OMEGA AG</t>
  </si>
  <si>
    <t>4y CDS protection sold - credit quality step 2 (CRR Art. 280c)</t>
  </si>
  <si>
    <t>B04</t>
  </si>
  <si>
    <t>ITRAXX EUROPE S46</t>
  </si>
  <si>
    <t>5y index protection bought</t>
  </si>
  <si>
    <t>B05</t>
  </si>
  <si>
    <t>ITRAXX EUROPE S46 3-6%</t>
  </si>
  <si>
    <t>3-6% tranche protection sold</t>
  </si>
  <si>
    <t>B06</t>
  </si>
  <si>
    <t>ENI SPA</t>
  </si>
  <si>
    <t>1y equity TRS receive performance</t>
  </si>
  <si>
    <t>B07</t>
  </si>
  <si>
    <t>EURO STOXX 50</t>
  </si>
  <si>
    <t>Sold 6m index put</t>
  </si>
  <si>
    <t>B08</t>
  </si>
  <si>
    <t>ENEL SPA</t>
  </si>
  <si>
    <t>9m equity forward short</t>
  </si>
  <si>
    <t>B09</t>
  </si>
  <si>
    <t>Volatility</t>
  </si>
  <si>
    <t>SX5E VARIANCE</t>
  </si>
  <si>
    <t>Variance swap - volatility hedging set, SF x 5</t>
  </si>
  <si>
    <t>B10</t>
  </si>
  <si>
    <t>BRENT</t>
  </si>
  <si>
    <t>1y Brent swap</t>
  </si>
  <si>
    <t>B11</t>
  </si>
  <si>
    <t>18m WTI swap (separate type from Brent)</t>
  </si>
  <si>
    <t>B12</t>
  </si>
  <si>
    <t>IT PUN BASELOAD</t>
  </si>
  <si>
    <t>Cal-27 Italian power baseload</t>
  </si>
  <si>
    <t>B13</t>
  </si>
  <si>
    <t>GOLD</t>
  </si>
  <si>
    <t>2y gold forward</t>
  </si>
  <si>
    <t>B14</t>
  </si>
  <si>
    <t>WHEAT</t>
  </si>
  <si>
    <t>6m wheat swap</t>
  </si>
  <si>
    <t>SA-CCR results</t>
  </si>
  <si>
    <t>Pre-computed with the sample data (reporting date 2026-09-30). Press "Run SA-CCR" after changing any input.</t>
  </si>
  <si>
    <t>Margined</t>
  </si>
  <si>
    <t>MPOR (BD)</t>
  </si>
  <si>
    <t>V (sum MtM)</t>
  </si>
  <si>
    <t>C (VM + NICA)</t>
  </si>
  <si>
    <t>AddOn IR</t>
  </si>
  <si>
    <t>AddOn FX</t>
  </si>
  <si>
    <t>AddOn CR</t>
  </si>
  <si>
    <t>AddOn EQ</t>
  </si>
  <si>
    <t>AddOn CO</t>
  </si>
  <si>
    <t>AddOn OT</t>
  </si>
  <si>
    <t>AddOn aggregate</t>
  </si>
  <si>
    <t>Multiplier</t>
  </si>
  <si>
    <t>EAD margined</t>
  </si>
  <si>
    <t>EAD cap (unmargined)</t>
  </si>
  <si>
    <t>Cap applied</t>
  </si>
  <si>
    <t>C (cap basis)</t>
  </si>
  <si>
    <t>RC (cap basis)</t>
  </si>
  <si>
    <t>AddOn unmargined</t>
  </si>
  <si>
    <t>Multiplier (cap basis)</t>
  </si>
  <si>
    <t>n/a</t>
  </si>
  <si>
    <t>TOTAL</t>
  </si>
  <si>
    <t>Hedging sets</t>
  </si>
  <si>
    <t>Margined netting sets are shown with the margined maturity factor; column L always shows the unmargined add-on used for the EAD cap.</t>
  </si>
  <si>
    <t>Hedging set</t>
  </si>
  <si>
    <t>D1 (&lt;1y)</t>
  </si>
  <si>
    <t>D2 (1-5y)</t>
  </si>
  <si>
    <t>D3 (&gt;5y)</t>
  </si>
  <si>
    <t>Effective notional (IR / FX / OT)</t>
  </si>
  <si>
    <t>Systematic: sum rho x A</t>
  </si>
  <si>
    <t>Idiosyncratic: sqrt(sum (1-rho^2) A^2)</t>
  </si>
  <si>
    <t>Hedging-set add-on</t>
  </si>
  <si>
    <t>Add-on unmargined</t>
  </si>
  <si>
    <t>SF (IR / FX / OT)</t>
  </si>
  <si>
    <t>IR|USD|STD</t>
  </si>
  <si>
    <t>Unmargined</t>
  </si>
  <si>
    <t>IR|EUR|STD</t>
  </si>
  <si>
    <t>CR|STD</t>
  </si>
  <si>
    <t>CO|ENERGY|STD</t>
  </si>
  <si>
    <t>CO|METALS|STD</t>
  </si>
  <si>
    <t>OT|LONGEVITY INDEX X|STD</t>
  </si>
  <si>
    <t>OT|CAT LOSS INDEX Y|STD</t>
  </si>
  <si>
    <t>CO|CLIMATIC|STD</t>
  </si>
  <si>
    <t>IR|EUR|BASIS:EURIBOR6M/ESTR</t>
  </si>
  <si>
    <t>FX|EUR/USD|STD</t>
  </si>
  <si>
    <t>FX|JPY/USD|STD</t>
  </si>
  <si>
    <t>FX|GBP/USD|STD</t>
  </si>
  <si>
    <t>IR|GBP|STD</t>
  </si>
  <si>
    <t>EQ|STD</t>
  </si>
  <si>
    <t>EQ|VOL:SX5E VARIANCE</t>
  </si>
  <si>
    <t>CO|AGRICULTURAL|STD</t>
  </si>
  <si>
    <t>Buckets, entities and commodity types</t>
  </si>
  <si>
    <t>IR: maturity bucket &lt;1Y / 1-5Y / &gt;5Y on E. FX: currency pair. CR / EQ: reference entity. CO: commodity type.</t>
  </si>
  <si>
    <t>Bucket / entity / type</t>
  </si>
  <si>
    <t>SF</t>
  </si>
  <si>
    <t>Effective notional unmargined</t>
  </si>
  <si>
    <t>Effective notional margined</t>
  </si>
  <si>
    <t>Entity / type add-on unmargined</t>
  </si>
  <si>
    <t>Entity / type add-on margined</t>
  </si>
  <si>
    <t>&gt;5Y</t>
  </si>
  <si>
    <t>1-5Y</t>
  </si>
  <si>
    <t>JPY/USD</t>
  </si>
  <si>
    <t>GBP/USD</t>
  </si>
  <si>
    <t>&lt;1Y</t>
  </si>
  <si>
    <t>Trade-level calculation</t>
  </si>
  <si>
    <t>Every intermediate of the trade-level SA-CCR formula; excluded trades show the reason in Messages.</t>
  </si>
  <si>
    <t>Status</t>
  </si>
  <si>
    <t>SF (effective)</t>
  </si>
  <si>
    <t>Notional (rep ccy)</t>
  </si>
  <si>
    <t>MtM (rep ccy)</t>
  </si>
  <si>
    <t>S</t>
  </si>
  <si>
    <t>E</t>
  </si>
  <si>
    <t>M</t>
  </si>
  <si>
    <t>T (option)</t>
  </si>
  <si>
    <t>Adjusted notional d</t>
  </si>
  <si>
    <t>Supervisory delta</t>
  </si>
  <si>
    <t>MF unmargined</t>
  </si>
  <si>
    <t>MF margined</t>
  </si>
  <si>
    <t>IR bucket</t>
  </si>
  <si>
    <t>Stand-alone add-on</t>
  </si>
  <si>
    <t>Lambda</t>
  </si>
  <si>
    <t>Messages</t>
  </si>
  <si>
    <t>OK</t>
  </si>
  <si>
    <t>EXCLUDED</t>
  </si>
  <si>
    <t>price and strike must be &gt; 0 after lambda shift (BCBS: enter lambda per CRE52.40 FAQ)</t>
  </si>
  <si>
    <t>asset class OT (other risks) exists only under CRR (Art. 277(1)(f), 280f); under BCBS map the trade to the class of its primary risk driver (CRE52); 'OT' is defined only for regime CRR (netting set uses BCBS)</t>
  </si>
  <si>
    <t>trade has matured (maturity &lt;= reporting date)</t>
  </si>
  <si>
    <t>Errors exclude the trade from the calculation; warnings do not.</t>
  </si>
  <si>
    <t>Severity</t>
  </si>
  <si>
    <t>Sheet</t>
  </si>
  <si>
    <t>Row</t>
  </si>
  <si>
    <t>Message</t>
  </si>
  <si>
    <t>ERROR</t>
  </si>
  <si>
    <t>Trade excluded: price and strike must be &gt; 0 after lambda shift (BCBS: enter lambda per CRE52.40 FAQ)</t>
  </si>
  <si>
    <t>Trade excluded: asset class OT (other risks) exists only under CRR (Art. 277(1)(f), 280f); under BCBS map the trade to the class of its primary risk driver (CRE52); 'OT' is defined only for regime CRR (netting set uses BCBS)</t>
  </si>
  <si>
    <t>Trade excluded: trade has matured (maturity &lt;= reporting date)</t>
  </si>
  <si>
    <t>INFO</t>
  </si>
  <si>
    <t>Netting set has no valid trades - not reported.</t>
  </si>
  <si>
    <t>Unit tests call the SACCR_* worksheet functions (macros enabled); portfolio tests are on TestCatalogue.</t>
  </si>
  <si>
    <t>Unit tests of the worksheet functions</t>
  </si>
  <si>
    <t>Test</t>
  </si>
  <si>
    <t>Formula</t>
  </si>
  <si>
    <t>Expected</t>
  </si>
  <si>
    <t>Function</t>
  </si>
  <si>
    <t>Abs. diff</t>
  </si>
  <si>
    <t>Result</t>
  </si>
  <si>
    <t>Supervisory duration, S=0, E=10</t>
  </si>
  <si>
    <t>=SACCR_SupervisoryDuration(0,10)</t>
  </si>
  <si>
    <t>Supervisory duration, S=1, E=11</t>
  </si>
  <si>
    <t>=SACCR_SupervisoryDuration(1,11)</t>
  </si>
  <si>
    <t>SD floor, S=0, E=0.01 (floor 10/250)</t>
  </si>
  <si>
    <t>=SACCR_SupervisoryDuration(0,0.01,10/250)</t>
  </si>
  <si>
    <t>MF unmargined, M=0.75</t>
  </si>
  <si>
    <t>=SACCR_MaturityFactor(0.75)</t>
  </si>
  <si>
    <t>MF unmargined, M=3 days (floor 10 BD)</t>
  </si>
  <si>
    <t>=SACCR_MaturityFactor(3/365)</t>
  </si>
  <si>
    <t>MF margined, MPOR=10 BD</t>
  </si>
  <si>
    <t>=SACCR_MaturityFactor(0,TRUE,10)</t>
  </si>
  <si>
    <t>Delta, bought put P=6% K=5% T=1 vol=50%</t>
  </si>
  <si>
    <t>=SACCR_OptionDelta(0.06,0.05,1,0.5,FALSE,TRUE)</t>
  </si>
  <si>
    <t>Delta, sold call P=100 K=110 T=0.5 vol=32%</t>
  </si>
  <si>
    <t>=SACCR_OptionDelta(100,110,0.5,0.32,TRUE,FALSE)</t>
  </si>
  <si>
    <t>Delta with lambda shift, P=-0.2% K=0.1% L=1%</t>
  </si>
  <si>
    <t>=SACCR_OptionDelta(-0.002,0.001,2,0.5,TRUE,TRUE,0.01)</t>
  </si>
  <si>
    <t>CDO delta, 3-6% tranche, long</t>
  </si>
  <si>
    <t>=SACCR_CDODelta(0.03,0.06,TRUE)</t>
  </si>
  <si>
    <t>IR effective notional, Basel ex.1 USD</t>
  </si>
  <si>
    <t>=SACCR_IREffectiveNotional(0.0,-36253.849384403635,78693.86805747332)</t>
  </si>
  <si>
    <t>Factor aggregation, Basel ex.2</t>
  </si>
  <si>
    <t>=SACCR_FactorAggregation({105.86193791695607,-279.91632166374467,168.11140486573228},{0.5,0.5,0.8})</t>
  </si>
  <si>
    <t>Multiplier, V-C=-20, AddOn=282</t>
  </si>
  <si>
    <t>=SACCR_Multiplier(-20,282)</t>
  </si>
  <si>
    <t>Multiplier, V-C&gt;0</t>
  </si>
  <si>
    <t>=SACCR_Multiplier(10,282)</t>
  </si>
  <si>
    <t>RC margined, V-C=-5, TH=0, MTA=10, NICA=2</t>
  </si>
  <si>
    <t>=SACCR_ReplacementCost(5,10,TRUE,0,10,2)</t>
  </si>
  <si>
    <t>Normal CDF(1.96)</t>
  </si>
  <si>
    <t>=SACCR_NormCDF(1.96)</t>
  </si>
  <si>
    <t>Normal CDF(-8)</t>
  </si>
  <si>
    <t>=SACCR_NormCDF(-8)</t>
  </si>
  <si>
    <t>CRR lambda IR, P=-0.20% K=0.10%</t>
  </si>
  <si>
    <t>=SACCR_LambdaCRR(-0.002,0.001,TRUE)</t>
  </si>
  <si>
    <t>CRR lambda IR, P=2% K=3% (no shift)</t>
  </si>
  <si>
    <t>=SACCR_LambdaCRR(0.02,0.03,TRUE)</t>
  </si>
  <si>
    <t>CRR lambda IR, P=0.05% K=1% (to threshold)</t>
  </si>
  <si>
    <t>=SACCR_LambdaCRR(0.0005,0.01,TRUE)</t>
  </si>
  <si>
    <t>CRR lambda commodity, P=-5 K=-4</t>
  </si>
  <si>
    <t>=SACCR_LambdaCRR(-5,-4,FALSE)</t>
  </si>
  <si>
    <t>CRR lambda commodity, P=40 K=35 (no shift)</t>
  </si>
  <si>
    <t>=SACCR_LambdaCRR(40,35,FALSE)</t>
  </si>
  <si>
    <t>Reference-test catalogue</t>
  </si>
  <si>
    <t>Each test reads one output cell by netting set / trade ID and column header. Basel and EU expectations are kept separate even where they coincide. Values shown are from the last run.</t>
  </si>
  <si>
    <t>Area</t>
  </si>
  <si>
    <t>Source</t>
  </si>
  <si>
    <t>Source status</t>
  </si>
  <si>
    <t>Metric</t>
  </si>
  <si>
    <t>Tolerance type</t>
  </si>
  <si>
    <t>Tolerance</t>
  </si>
  <si>
    <t>Engine</t>
  </si>
  <si>
    <t>Difference</t>
  </si>
  <si>
    <t>Note</t>
  </si>
  <si>
    <t>T01</t>
  </si>
  <si>
    <t>Core - IR</t>
  </si>
  <si>
    <t>Example 1: adjusted notional, 10y swap</t>
  </si>
  <si>
    <t>CRE99 ex.1 / BCBS 279 Annex 4</t>
  </si>
  <si>
    <t>Official published value (rounded)</t>
  </si>
  <si>
    <t>abs</t>
  </si>
  <si>
    <t/>
  </si>
  <si>
    <t>T02</t>
  </si>
  <si>
    <t>Example 1: supervisory delta, swaption</t>
  </si>
  <si>
    <t>CRE99 ex.1</t>
  </si>
  <si>
    <t>T03</t>
  </si>
  <si>
    <t>Example 1: IR add-on</t>
  </si>
  <si>
    <t>T04</t>
  </si>
  <si>
    <t>Example 1: EAD</t>
  </si>
  <si>
    <t>T05</t>
  </si>
  <si>
    <t>Core - credit</t>
  </si>
  <si>
    <t>Example 2: multiplier</t>
  </si>
  <si>
    <t>CRE99 ex.2</t>
  </si>
  <si>
    <t>T06</t>
  </si>
  <si>
    <t>Example 2: EAD</t>
  </si>
  <si>
    <t>T07</t>
  </si>
  <si>
    <t>Core - commodity</t>
  </si>
  <si>
    <t>Example 3: EAD</t>
  </si>
  <si>
    <t>CRE99 ex.3</t>
  </si>
  <si>
    <t>9-month leg entered as 274 days (0.7507y vs 0.75y): ~1.4 below published</t>
  </si>
  <si>
    <t>T08</t>
  </si>
  <si>
    <t>Core - aggregation</t>
  </si>
  <si>
    <t>Example 4: RC</t>
  </si>
  <si>
    <t>CRE99 ex.4</t>
  </si>
  <si>
    <t>T09</t>
  </si>
  <si>
    <t>Example 4: aggregate add-on (no diversification across classes)</t>
  </si>
  <si>
    <t>T10</t>
  </si>
  <si>
    <t>Example 4: EAD</t>
  </si>
  <si>
    <t>Published 936 = 1.4 x (40 + 629) with rounded add-ons; unrounded 936.5</t>
  </si>
  <si>
    <t>T11</t>
  </si>
  <si>
    <t>Core - margined</t>
  </si>
  <si>
    <t>Example 5: MPOR, weekly remargining</t>
  </si>
  <si>
    <t>CRE99 ex.5</t>
  </si>
  <si>
    <t>T12</t>
  </si>
  <si>
    <t>Example 5: aggregate add-on</t>
  </si>
  <si>
    <t>T13</t>
  </si>
  <si>
    <t>Example 5: multiplier</t>
  </si>
  <si>
    <t>T14</t>
  </si>
  <si>
    <t>Example 5: EAD</t>
  </si>
  <si>
    <t>T15</t>
  </si>
  <si>
    <t>EU - cap</t>
  </si>
  <si>
    <t>Example 5 under CRR: Art. 274(3) cap not binding, same EAD</t>
  </si>
  <si>
    <t>CRE99 ex.5 + CRR Art. 274(3)</t>
  </si>
  <si>
    <t>Derived - independent Python implementation</t>
  </si>
  <si>
    <t>Common core reproduces the Basel result</t>
  </si>
  <si>
    <t>T16</t>
  </si>
  <si>
    <t>Posted VM: Basel cap keeps VM in C -&gt; margined EAD (~377)</t>
  </si>
  <si>
    <t>CRE52.2; EBA Q&amp;A 2022_6354 (rejected)</t>
  </si>
  <si>
    <t>Engineering scenario - not authoritative</t>
  </si>
  <si>
    <t>rel</t>
  </si>
  <si>
    <t>Basel cap ~602 &gt; margined ~377</t>
  </si>
  <si>
    <t>T17</t>
  </si>
  <si>
    <t>Posted VM: CRR cap excludes VM from NICA -&gt; cap binds (~41)</t>
  </si>
  <si>
    <t>CRR Art. 274(3), 275(1); EBA Q&amp;A 2023_6962</t>
  </si>
  <si>
    <t>Q&amp;A 2022_6354 illustration: 41 (cap) vs 378 (margined)</t>
  </si>
  <si>
    <t>T18</t>
  </si>
  <si>
    <t>Posted VM: cap applied flag</t>
  </si>
  <si>
    <t>EBA Q&amp;A 2023_6962</t>
  </si>
  <si>
    <t>text</t>
  </si>
  <si>
    <t>T19</t>
  </si>
  <si>
    <t>EU - options</t>
  </si>
  <si>
    <t>Swaption forward 1%: EAD (lambda = 0)</t>
  </si>
  <si>
    <t>EBA SA-CCR RTS work, as cited (~761)</t>
  </si>
  <si>
    <t>Cited figures: PFE ~483, EAD ~761 - source not opened here</t>
  </si>
  <si>
    <t>T20</t>
  </si>
  <si>
    <t>Negative forward: RTS lambda = 0.10% - min(P, K)</t>
  </si>
  <si>
    <t>Hand calculation from the regulation</t>
  </si>
  <si>
    <t>T21</t>
  </si>
  <si>
    <t>Negative forward: supervisory delta with shift</t>
  </si>
  <si>
    <t>Del. Reg. 2021/931 Art. 5</t>
  </si>
  <si>
    <t>T22</t>
  </si>
  <si>
    <t>Basel - options</t>
  </si>
  <si>
    <t>Negative forward without lambda under BCBS is rejected</t>
  </si>
  <si>
    <t>CRE52.40 FAQ (lambda by judgement)</t>
  </si>
  <si>
    <t>Enter lambda on the trade for BCBS</t>
  </si>
  <si>
    <t>T23</t>
  </si>
  <si>
    <t>Negative commodity price: lambda = -(1 + 0.1) x min(P, K)</t>
  </si>
  <si>
    <t>T24</t>
  </si>
  <si>
    <t>EU - other risks</t>
  </si>
  <si>
    <t>Other risks add-on = 8% x (|6,000| + |5,000|)</t>
  </si>
  <si>
    <t>CRR Art. 280f</t>
  </si>
  <si>
    <t>T25</t>
  </si>
  <si>
    <t>Other risks EAD = 1.4 x 880</t>
  </si>
  <si>
    <t>CRR Art. 274(2), 280f</t>
  </si>
  <si>
    <t>T26</t>
  </si>
  <si>
    <t>Basel - other risks</t>
  </si>
  <si>
    <t>Other-risks trade in a BCBS netting set is rejected</t>
  </si>
  <si>
    <t>CRE52 (five asset classes)</t>
  </si>
  <si>
    <t>T27</t>
  </si>
  <si>
    <t>EU - mapping</t>
  </si>
  <si>
    <t>Climatic variable mapped to its own commodity hedging set</t>
  </si>
  <si>
    <t>CRR Art. 277(4)(b), 277a</t>
  </si>
  <si>
    <t>SF value to be confirmed against Art. 280e</t>
  </si>
  <si>
    <t>T28</t>
  </si>
  <si>
    <t>Credit quality step 2 -&gt; SF 0.42%</t>
  </si>
  <si>
    <t>Summary</t>
  </si>
  <si>
    <t>Source status: "Official" = published figure, rounded (tolerance covers rounding); "Hand calculation" = derived directly from the legal text; "Derived" / "Engineering scenario" = expected value from an independent Python implementation of the same rules - a regression anchor, not an external authority.</t>
  </si>
  <si>
    <t>Engineering scenarios after EBA Q&amp;A 2022_6354 (rejected) reproduce its pattern only; the decisive rule is the final Q&amp;A 2023_6962. The EBA swaption figures (~483 / ~761) are as cited in the project note.</t>
  </si>
  <si>
    <t>Not yet in the catalogue: CRE99 margin-agreement / RC examples (segregated vs non-segregated IM), one-way CSA, several margin agreements per netting set, one agreement over several netting sets, unrated credit mapping - the engine does not model these yet.</t>
  </si>
  <si>
    <t>Basel CRE52 vs EU CRR</t>
  </si>
  <si>
    <t>EU text: CRR consolidated version of 26/06/2026 (Art. 273a-282), Delegated Regulation (EU) 2021/931 as amended by (EU) 2025/855, EBA Q&amp;A. Basel: CRE52, its FAQs and the CRE99 / BCBS 279 examples.</t>
  </si>
  <si>
    <t>#</t>
  </si>
  <si>
    <t>Basel CRE52</t>
  </si>
  <si>
    <t>EU CRR</t>
  </si>
  <si>
    <t>Same / different</t>
  </si>
  <si>
    <t>Effect on numbers</t>
  </si>
  <si>
    <t>Workbook treatment</t>
  </si>
  <si>
    <t>Source check</t>
  </si>
  <si>
    <t>Normative hierarchy</t>
  </si>
  <si>
    <t>CRE52 + CRE52 FAQs; CRE99 / BCBS 279 Annex 4 worked examples.</t>
  </si>
  <si>
    <t>CRR Art. 273a-282 (Level 1) -&gt; Delegated Reg. (EU) 2021/931 as amended (incl. 2025/855) -&gt; EBA Q&amp;A.</t>
  </si>
  <si>
    <t>Different</t>
  </si>
  <si>
    <t>Interpretation route</t>
  </si>
  <si>
    <t>Regime on Params (default CRR), override per netting set. Regime rules sit in the engine, not inside the SACCR_* formula functions.</t>
  </si>
  <si>
    <t>-</t>
  </si>
  <si>
    <t>VERIFIED</t>
  </si>
  <si>
    <t>EAD and alpha</t>
  </si>
  <si>
    <t>EAD = 1.4 x (RC + PFE) [CRE52.1].</t>
  </si>
  <si>
    <t>Art. 274(2): alpha = 1.4; the consolidated text has no alpha exception by counterparty type.</t>
  </si>
  <si>
    <t>Same</t>
  </si>
  <si>
    <t>None</t>
  </si>
  <si>
    <t>Common core. Alpha override per netting set exists only for what-if use.</t>
  </si>
  <si>
    <t>Cap of margined EAD</t>
  </si>
  <si>
    <t>Capped at the EAD of the same netting set "calculated on an unmargined basis" [CRE52.2]; collateral C keeps posted VM with a negative sign.</t>
  </si>
  <si>
    <t>Art. 274(3): capped at the exposure of the same netting set "not subject to any form of margin agreement". RC per Art. 275(1); NICA does not include VM posted or received (EBA Q&amp;A 2023_6962, final, 15/03/2024).</t>
  </si>
  <si>
    <t>Material when VM is large, especially posted VM (scenario: ~41m CRR vs ~377m Basel).</t>
  </si>
  <si>
    <t>Implemented. CRR cap: C(cap) = NICA for RC and multiplier; BCBS cap: C = VM + NICA. Results shows C, RC and multiplier on the cap basis.</t>
  </si>
  <si>
    <t>T15-T18</t>
  </si>
  <si>
    <t>VERIFIED (CRR, Q&amp;A); Basel posted-VM wording CITED</t>
  </si>
  <si>
    <t>RC - unmargined</t>
  </si>
  <si>
    <t>RC = max(V - C, 0) [CRE52.10].</t>
  </si>
  <si>
    <t>RC = max(CMV - NICA, 0) [Art. 275(1)]; collateral per CRR definitions (Art. 272(12a), 276).</t>
  </si>
  <si>
    <t>Same formula</t>
  </si>
  <si>
    <t>Only through collateral definitions</t>
  </si>
  <si>
    <t>Enter collateral after haircuts. For an unmargined set put collateral in NICA (warning if VM is used).</t>
  </si>
  <si>
    <t>RC - margined</t>
  </si>
  <si>
    <t>RC = max(V - C, TH + MTA - NICA, 0) [CRE52.18].</t>
  </si>
  <si>
    <t>RC = max(CMV - VM - NICA, TH + MTA - NICA, 0) [Art. 275(2)].</t>
  </si>
  <si>
    <t>Common core.</t>
  </si>
  <si>
    <t>min(1; 5% + 95% exp((V - C) / (2 x 95% x AddOn))) [CRE52.23].</t>
  </si>
  <si>
    <t>Art. 278(3): same; z = CMV - VM - NICA (margined), CMV - NICA (unmargined).</t>
  </si>
  <si>
    <t>T05, T13</t>
  </si>
  <si>
    <t>Asset classes</t>
  </si>
  <si>
    <t>Five: IR, FX, credit, equity, commodity.</t>
  </si>
  <si>
    <t>Six: adds "other risks" [Art. 277(1)(f)].</t>
  </si>
  <si>
    <t>Additional add-on</t>
  </si>
  <si>
    <t>Asset class OT, allowed only in CRR netting sets; rejected (Checks) under BCBS.</t>
  </si>
  <si>
    <t>T24-T26</t>
  </si>
  <si>
    <t>Other-risks add-on</t>
  </si>
  <si>
    <t>No equivalent.</t>
  </si>
  <si>
    <t>Art. 280f: per hedging set, AddOn = coefficient x 8% x |effective notional|; supervisory option volatility 150% [Art. 279a Table 1].</t>
  </si>
  <si>
    <t>EU only</t>
  </si>
  <si>
    <t>New add-on</t>
  </si>
  <si>
    <t>Hedging set per primary risk driver (risk-factor text) and nature; FX-style aggregation.</t>
  </si>
  <si>
    <t>T24, T25</t>
  </si>
  <si>
    <t>VERIFIED (SF, vol); hedging-set wording OPEN</t>
  </si>
  <si>
    <t>Risk-driver mapping</t>
  </si>
  <si>
    <t>Primary risk driver; for complex trades supervisors may require allocation to more than one class.</t>
  </si>
  <si>
    <t>Art. 277(2)-(3): one vs several material risk drivers, mapped once per risk category; method fixed in Delegated Reg. (EU) 2021/931.</t>
  </si>
  <si>
    <t>Different (EU prescriptive)</t>
  </si>
  <si>
    <t>Classification of hybrids</t>
  </si>
  <si>
    <t>Not automated: enter one row per risk-category leg, classified per the RTS.</t>
  </si>
  <si>
    <t>Commodity hedging sets</t>
  </si>
  <si>
    <t>Energy, metals, agricultural, other [CRE52.70]; no specific rule for weather.</t>
  </si>
  <si>
    <t>Energy, metals, agricultural goods, other, climatic conditions [Art. 277a]; climatic variables mapped to commodity [Art. 277(4)(b)].</t>
  </si>
  <si>
    <t>Climatic trades no longer offset against "other"</t>
  </si>
  <si>
    <t>CO sub-class CLIMATIC (CRR-only row, own hedging set).</t>
  </si>
  <si>
    <t>VERIFIED (mapping); SF value OPEN - 18% placeholder, confirm in Art. 280e</t>
  </si>
  <si>
    <t>Inflation</t>
  </si>
  <si>
    <t>Basel FAQ: interest-rate class, separate hedging set per currency, SF 0.5%.</t>
  </si>
  <si>
    <t>Mapped to interest rate.</t>
  </si>
  <si>
    <t>Same numbers</t>
  </si>
  <si>
    <t>None expected</t>
  </si>
  <si>
    <t>Enter as IR; a distinct risk-factor label (e.g. EUR-INFL) gives a separate hedging set.</t>
  </si>
  <si>
    <t>CITED</t>
  </si>
  <si>
    <t>Option delta - negative rates / prices</t>
  </si>
  <si>
    <t>Shift lambda = "presumed lowest possible extent" rates can become negative - judgement [CRE52.40 FAQ2].</t>
  </si>
  <si>
    <t>Delegated Reg. 2021/931 Art. 5 (am. 2025/855), per option: IR lambda = max(0.10% - min(P,K); 0); commodity lambda = max(-(1 + 0.1) x min(P,K); 0).</t>
  </si>
  <si>
    <t>Delta differs when P or K is near or below zero</t>
  </si>
  <si>
    <t>CRR: lambda computed (input ignored with a warning). BCBS: lambda from the trade; rejected if P or K + lambda &lt;= 0.</t>
  </si>
  <si>
    <t>T20-T23</t>
  </si>
  <si>
    <t>VERIFIED (EBA/RTS/2024/16; OJ 2025/855)</t>
  </si>
  <si>
    <t>Supervisory option volatilities</t>
  </si>
  <si>
    <t>CRE52.72 table.</t>
  </si>
  <si>
    <t>Art. 279a Table 1: FX 15%, credit 100% / 80%, equity 120% / 75%, electricity 150%, other commodities 70%, other risks 150%; IR 50% (RTS).</t>
  </si>
  <si>
    <t>Same (+ other risks)</t>
  </si>
  <si>
    <t>Common table on Params.</t>
  </si>
  <si>
    <t>Tests sheet</t>
  </si>
  <si>
    <t>Credit supervisory factors</t>
  </si>
  <si>
    <t>By rating AAA ... CCC and IG / SG index [CRE52.72]; no rule for unrated names.</t>
  </si>
  <si>
    <t>By credit quality step 1-6: 0.38 / 0.42 / 0.54 / 1.06 / 1.60 / 6.00%; index IG 0.38%, non-IG 1.06% [Art. 280c Tables 3-4]; Art. 280c sets the unrated treatment.</t>
  </si>
  <si>
    <t>Same values, different mapping</t>
  </si>
  <si>
    <t>Unrated reference names</t>
  </si>
  <si>
    <t>Sub-classes CQS1-CQS6 added. Unrated: choose the CQS per Art. 280c (not automated).</t>
  </si>
  <si>
    <t>VERIFIED (values); unrated wording OPEN</t>
  </si>
  <si>
    <t>SD = (exp(-0.05 S) - exp(-0.05 E)) / 0.05, floored at 10 business days [CRE52.34].</t>
  </si>
  <si>
    <t>Art. 279b(1)(a): same, floor 10 / OneBusinessYear; S, E in the relevant business-day convention.</t>
  </si>
  <si>
    <t>Day-count convention only</t>
  </si>
  <si>
    <t>DaysPerYear and BusinessDaysPerYear on Params.</t>
  </si>
  <si>
    <t>Maturity factor and MPOR</t>
  </si>
  <si>
    <t>Unmargined sqrt(min(M,1)), M floored at 10 BD; margined 1.5 sqrt(MPOR/250) [CRE52.48-52.52].</t>
  </si>
  <si>
    <t>Art. 279c, MPOR per Art. 285(2)-(5); 5 BD for client clearing.</t>
  </si>
  <si>
    <t>Common core; MPOR floors are parameters.</t>
  </si>
  <si>
    <t>Basis and volatility transactions</t>
  </si>
  <si>
    <t>SF x 0.5 / x 5, own hedging sets [CRE52.46-52.47].</t>
  </si>
  <si>
    <t>Art. 277a(2) hedging sets; coefficients 0.5 / 5 [Art. 280].</t>
  </si>
  <si>
    <t>Common core (Nature column).</t>
  </si>
  <si>
    <t>IR aggregation</t>
  </si>
  <si>
    <t>Buckets on E (&lt;1y, 1-5y, &gt;5y), cross terms 1.4 / 1.4 / 0.6, optional no-offset formula [CRE52.57].</t>
  </si>
  <si>
    <t>Art. 280a.</t>
  </si>
  <si>
    <t>Common core; IRBucketOffset switch.</t>
  </si>
  <si>
    <t>VERIFIED (Basel); Art. 280a text not re-read</t>
  </si>
  <si>
    <t>FX adjusted notional</t>
  </si>
  <si>
    <t>Foreign leg; if both legs foreign, the larger converted leg [CRE52.35].</t>
  </si>
  <si>
    <t>Art. 279b(1)(b): same.</t>
  </si>
  <si>
    <t>Enter the relevant leg (larger leg if both are foreign).</t>
  </si>
  <si>
    <t>Sold options / sold protection</t>
  </si>
  <si>
    <t>FAQs under CRE52.1: EAD may be zero for sold options outside netting and margin agreements; sold credit protection may be capped at unpaid premia.</t>
  </si>
  <si>
    <t>Art. 274(5) (sold-options netting set: zero) and 274(7) (cap at unpaid premium) in Level 1.</t>
  </si>
  <si>
    <t>Same substance</t>
  </si>
  <si>
    <t>None if applied</t>
  </si>
  <si>
    <t>Not automated: put such trades in their own netting set and handle outside the engine.</t>
  </si>
  <si>
    <t>Combinations of options</t>
  </si>
  <si>
    <t>Not specifically addressed in the text reviewed.</t>
  </si>
  <si>
    <t>Art. 274(6): decompose linear combinations and vanilla digital options.</t>
  </si>
  <si>
    <t>EU explicit</t>
  </si>
  <si>
    <t>Depends on booking</t>
  </si>
  <si>
    <t>Enter the components as separate trades.</t>
  </si>
  <si>
    <t>VERIFIED (CRR)</t>
  </si>
  <si>
    <t>Several margin agreements in one netting set</t>
  </si>
  <si>
    <t>Sub-netting sets per margin agreement [CRE52.74].</t>
  </si>
  <si>
    <t>Art. 274(4): hypothetical sub-netting sets by MPOR; RC gross of collateral across all trades.</t>
  </si>
  <si>
    <t>Similar</t>
  </si>
  <si>
    <t>Test each regime separately</t>
  </si>
  <si>
    <t>Not implemented.</t>
  </si>
  <si>
    <t>One margin agreement over several netting sets</t>
  </si>
  <si>
    <t>Shared margin agreement rules in CRE52.</t>
  </si>
  <si>
    <t>Art. 275(3) (RC) and Art. 278 (PFE as sum of unmargined PFEs).</t>
  </si>
  <si>
    <t>Proportional alternatives</t>
  </si>
  <si>
    <t>None in CRE52.</t>
  </si>
  <si>
    <t>Simplified SA-CCR (Art. 281) if derivative business &lt;= 10% of total assets and &lt;= EUR 300m; OEM (Art. 282) if &lt;= 5% and &lt;= EUR 100m [Art. 273a].</t>
  </si>
  <si>
    <t>Different method</t>
  </si>
  <si>
    <t>Collateral eligibility and haircuts</t>
  </si>
  <si>
    <t>Basel credit risk mitigation framework.</t>
  </si>
  <si>
    <t>Art. 276 with the CRR collateral rules (e.g. Art. 223).</t>
  </si>
  <si>
    <t>Different rules</t>
  </si>
  <si>
    <t>Collateral values</t>
  </si>
  <si>
    <t>Collateral is an input after haircuts.</t>
  </si>
  <si>
    <t>IR: currency (hedging set); inflation as the currency followed by -INFL, e.g. EUR-INFL, in its own hedging set [Art. 277(4)(a), 277a(1)]. FX: currency pair, e.g. EUR/USD (order is normalised and the sign adjusted). CR / EQ: reference entity or index name. CO: commodity type (trades with the same text are netted as one type). OT (CRR other risks): primary risk driver.</t>
  </si>
  <si>
    <t>Hedging set per currency; buckets &lt;1y, 1-5y, &gt;5y on E; EN = sqrt(D1^2+D2^2+D3^2+1.4D1D2+1.4D2D3+0.6D1D3); AddOn = 0.5% x EN [CRE52.57, Art. 280a]. BCBS only: IRBucketOffset = FALSE uses the sum of absolute bucket values [CRE52.57(5)]; a CRR netting set with IR trades is then INVALID.</t>
  </si>
  <si>
    <t>Simplified SA-CCR and OEM (CRR Art. 281-282), CCP exposures, SFTs, CVA and RWA; collateral haircuts (enter C after haircuts); several margin agreements in one netting set, or one agreement over several netting sets; automatic risk-driver mapping (RTS 2021/931). The optional reductions for sold options and sold credit protection (Art. 274(5), (7)) are not applied, which gives a higher EAD.</t>
  </si>
  <si>
    <t>CRR climatic conditions: 18%, the factor of every commodity hedging set except electricity [Art. 277a(1)(e)(v), 280e(5)]. Unrated single names: enter CQS3 (0.54%), CQS5 (1.6%) where Art. 128 applies, or the step mapped from an internal rating [Art. 280c(5)(a)].</t>
  </si>
  <si>
    <t>Notes</t>
  </si>
  <si>
    <t>CRE52.57(5); CRR allows TRUE only (Art. 280a(3))</t>
  </si>
  <si>
    <t>CRR Art. 277(4)(b), 277a(1)(e)(v), 280e(5)</t>
  </si>
  <si>
    <t>VERIFIED: 18% [Art. 280e(5)]</t>
  </si>
  <si>
    <t>VERIFIED (CRR Art. 277(4)(a), 277a(1))</t>
  </si>
  <si>
    <t>Sub-classes CQS1-CQS6 added. Unrated: enter CQS3 (0.54%), CQS5 (1.6%) where Art. 128 applies, or the step mapped from an internal rating [Art. 280c(5)(a)].</t>
  </si>
  <si>
    <t>Art. 280a(3): the bucket formula only; no sum of absolute bucket values.</t>
  </si>
  <si>
    <t>CRR netting sets cannot use the sum of absolutes</t>
  </si>
  <si>
    <t>Common core. IRBucketOffset = FALSE applies to BCBS only; a CRR netting set with IR trades is then INVALID.</t>
  </si>
  <si>
    <t>Optional reductions not applied: sold options and sold protection are calculated as ordinary trades, which gives a higher EAD (permitted).</t>
  </si>
  <si>
    <t>EAD = alpha x (RC + PFE)  [CRE52.1 / Art. 274(2)]; margined EAD capped at the unmargined EAD, with C = NICA only in both regimes [CRE52.2, CRE52.10; Art. 274(3), EBA Q&amp;A 2023_6962]</t>
  </si>
  <si>
    <t>Floor 10 BD bilateral, 20 BD if &gt; 5,000 trades or illiquid collateral, 5 BD (configurable) for client clearing: the clearing member in both regimes, the client under CRR only [CRE54.12; Art. 279c(1)]; + (N - 1) for remargining every N days; the result doubled for disputes [CRE52.50-52.52; Art. 285]</t>
  </si>
  <si>
    <t>VM and NICA are netting-set totals in reporting currency; positive = held, negative = posted. VM held on an unmargined netting set is rejected; VM posted on one is a one-way agreement, included in C under BCBS and rejected under CRR, where the netting set is margined.</t>
  </si>
  <si>
    <t>MPOR floor, client clearing (BD)</t>
  </si>
  <si>
    <t>One row per legally enforceable netting set. Collateral after haircuts, reporting currency; VM / NICA positive = held, negative = posted. Client clearing role: N, CM (the bank is the clearing member) or CLIENT. Margin agreements: blank for one agreement, or none, covering only this netting set; MIXED or SHARED declares a structure the engine rejects.</t>
  </si>
  <si>
    <t>Client clearing role (N/CM/CLIENT)</t>
  </si>
  <si>
    <t>Margin agreements (blank/MIXED/SHARED)</t>
  </si>
  <si>
    <t>Posted VM: Basel cap uses NICA only -&gt; cap binds (~41)</t>
  </si>
  <si>
    <t>CRE52.2, CRE52.10</t>
  </si>
  <si>
    <t>Same as T17 since #39: cap ~41 &lt; margined ~377</t>
  </si>
  <si>
    <t>Not yet in the catalogue: CRE99 margin-agreement / RC examples (segregated vs non-segregated IM), unrated credit mapping. One-way CSA, the client clearing role and the margin-agreement structures are tested in TEST_InputValidation (#39); several margin agreements per netting set and one agreement over several netting sets are rejected, not modelled.</t>
  </si>
  <si>
    <t>Capped at the EAD of the same netting set "calculated on an unmargined basis" [CRE52.2]; unmargined C is the NICA collateral [CRE52.10], so the cap uses NICA only.</t>
  </si>
  <si>
    <t>None since #39: both caps use NICA (posted-VM scenario ~41m in both regimes).</t>
  </si>
  <si>
    <t>Implemented. Cap: C(cap) = NICA for RC and multiplier in both regimes. Results shows C, RC and multiplier on the cap basis.</t>
  </si>
  <si>
    <t>VERIFIED (CRE52.2, CRE52.10; CRR, Q&amp;A)</t>
  </si>
  <si>
    <t>RC = max(V - C, 0) [CRE52.10]; a one-way agreement where only the bank posts VM is unmargined, and C includes that VM with a negative sign [CRE52.2, CRE52.10 footnote 2].</t>
  </si>
  <si>
    <t>RC = max(CMV - NICA, 0) [Art. 275(1)]; collateral per CRR definitions (Art. 272(12a), 276). A one-way margin agreement is a margin agreement [Art. 272(7a)]: the netting set is margined.</t>
  </si>
  <si>
    <t>Different (one-way agreement)</t>
  </si>
  <si>
    <t>One-way agreements where the bank posts VM</t>
  </si>
  <si>
    <t>Enter collateral after haircuts, in NICA. VM held on an unmargined set is rejected. VM posted (one-way agreement): BCBS includes it in C; CRR rejects it - set Margined = Y.</t>
  </si>
  <si>
    <t>Different (client role)</t>
  </si>
  <si>
    <t>Client facing its clearing member: 5 BD under CRR, 10 BD under BCBS</t>
  </si>
  <si>
    <t>Common core; MPOR floors are parameters. Client clearing role N / CM / CLIENT: 5 BD for CM in both regimes and for CLIENT under CRR [CRE54.12; Art. 279c(1)]; a BCBS client keeps 10 BD [CRE54.8, CRE54.14]. Disputes double F + N - 1; a large or illiquid set takes 20 + N - 1.</t>
  </si>
  <si>
    <t>Not implemented: declare MIXED under Margin agreements; the netting set is rejected.</t>
  </si>
  <si>
    <t>Art. 275(3) (RC) and Art. 278(2) (PFE as sum of unmargined PFEs).</t>
  </si>
  <si>
    <t>Not implemented: declare SHARED under Margin agreements; the netting set is rejected.</t>
  </si>
</sst>
</file>

<file path=xl/styles.xml><?xml version="1.0" encoding="utf-8"?>
<styleSheet xmlns="http://schemas.openxmlformats.org/spreadsheetml/2006/main">
  <numFmts count="14">
    <numFmt numFmtId="164" formatCode="yyyy-mm-dd"/>
    <numFmt numFmtId="165" formatCode="@"/>
    <numFmt numFmtId="166" formatCode="0.00##"/>
    <numFmt numFmtId="167" formatCode="0.00%"/>
    <numFmt numFmtId="168" formatCode="0%"/>
    <numFmt numFmtId="169" formatCode="0.000000"/>
    <numFmt numFmtId="170" formatCode="#,##0"/>
    <numFmt numFmtId="171" formatCode="0.00"/>
    <numFmt numFmtId="172" formatCode="#,##0.0000"/>
    <numFmt numFmtId="173" formatCode="0.0000"/>
    <numFmt numFmtId="174" formatCode="0.0000%"/>
    <numFmt numFmtId="175" formatCode="#,##0.0#####"/>
    <numFmt numFmtId="176" formatCode="0.0E+00"/>
    <numFmt numFmtId="177" formatCode="0.000000000"/>
  </numFmts>
  <fonts count="16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8"/>
      <color rgb="FF595959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7F6000"/>
      <name val="Calibri"/>
      <family val="2"/>
      <scheme val="minor"/>
    </font>
    <font>
      <sz val="9"/>
      <color theme="1"/>
      <name val="Consolas"/>
      <family val="2"/>
    </font>
    <font>
      <b/>
      <sz val="10"/>
      <color rgb="FF375623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rgb="FF37562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5" fontId="5" fillId="3" borderId="2" xfId="0" applyNumberFormat="1" applyFont="1" applyFill="1" applyBorder="1" applyAlignment="1">
      <alignment vertical="center"/>
    </xf>
    <xf numFmtId="166" fontId="5" fillId="3" borderId="2" xfId="0" applyNumberFormat="1" applyFont="1" applyFill="1" applyBorder="1" applyAlignment="1">
      <alignment vertical="center"/>
    </xf>
    <xf numFmtId="167" fontId="5" fillId="3" borderId="2" xfId="0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168" fontId="5" fillId="3" borderId="2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9" fontId="5" fillId="3" borderId="2" xfId="0" applyNumberFormat="1" applyFont="1" applyFill="1" applyBorder="1" applyAlignment="1">
      <alignment vertical="center"/>
    </xf>
    <xf numFmtId="1" fontId="5" fillId="3" borderId="2" xfId="0" applyNumberFormat="1" applyFont="1" applyFill="1" applyBorder="1" applyAlignment="1">
      <alignment vertical="center"/>
    </xf>
    <xf numFmtId="170" fontId="5" fillId="3" borderId="2" xfId="0" applyNumberFormat="1" applyFont="1" applyFill="1" applyBorder="1" applyAlignment="1">
      <alignment vertical="center"/>
    </xf>
    <xf numFmtId="171" fontId="5" fillId="3" borderId="2" xfId="0" applyNumberFormat="1" applyFont="1" applyFill="1" applyBorder="1" applyAlignment="1">
      <alignment vertical="center"/>
    </xf>
    <xf numFmtId="172" fontId="5" fillId="3" borderId="2" xfId="0" applyNumberFormat="1" applyFont="1" applyFill="1" applyBorder="1" applyAlignment="1">
      <alignment vertical="center"/>
    </xf>
    <xf numFmtId="173" fontId="5" fillId="3" borderId="2" xfId="0" applyNumberFormat="1" applyFont="1" applyFill="1" applyBorder="1" applyAlignment="1">
      <alignment vertical="center"/>
    </xf>
    <xf numFmtId="0" fontId="5" fillId="0" borderId="0" xfId="0" applyFont="1" applyAlignment="1">
      <alignment vertical="center" horizontal="center"/>
    </xf>
    <xf numFmtId="1" fontId="5" fillId="0" borderId="0" xfId="0" applyNumberFormat="1" applyFont="1" applyAlignment="1">
      <alignment vertical="center"/>
    </xf>
    <xf numFmtId="170" fontId="5" fillId="0" borderId="0" xfId="0" applyNumberFormat="1" applyFont="1" applyAlignment="1">
      <alignment vertical="center"/>
    </xf>
    <xf numFmtId="173" fontId="5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horizontal="center"/>
    </xf>
    <xf numFmtId="1" fontId="4" fillId="0" borderId="3" xfId="0" applyNumberFormat="1" applyFont="1" applyBorder="1" applyAlignment="1">
      <alignment vertical="center"/>
    </xf>
    <xf numFmtId="170" fontId="4" fillId="0" borderId="3" xfId="0" applyNumberFormat="1" applyFont="1" applyBorder="1" applyAlignment="1">
      <alignment vertical="center"/>
    </xf>
    <xf numFmtId="173" fontId="4" fillId="0" borderId="3" xfId="0" applyNumberFormat="1" applyFont="1" applyBorder="1" applyAlignment="1">
      <alignment vertical="center"/>
    </xf>
    <xf numFmtId="171" fontId="4" fillId="0" borderId="3" xfId="0" applyNumberFormat="1" applyFont="1" applyBorder="1" applyAlignment="1">
      <alignment vertical="center"/>
    </xf>
    <xf numFmtId="167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74" fontId="5" fillId="0" borderId="0" xfId="0" applyNumberFormat="1" applyFont="1" applyAlignment="1">
      <alignment vertical="center"/>
    </xf>
    <xf numFmtId="175" fontId="5" fillId="3" borderId="0" xfId="0" applyNumberFormat="1" applyFont="1" applyFill="1" applyAlignment="1">
      <alignment vertical="center"/>
    </xf>
    <xf numFmtId="176" fontId="5" fillId="0" borderId="0" xfId="0" applyNumberFormat="1" applyFont="1" applyAlignment="1">
      <alignment vertical="center"/>
    </xf>
    <xf numFmtId="175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2" fillId="5" borderId="0" xfId="0" applyFont="1" applyFill="1" applyAlignment="1">
      <alignment vertical="center" wrapText="1"/>
    </xf>
    <xf numFmtId="177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3" fillId="6" borderId="0" xfId="0" applyFont="1" applyFill="1" applyAlignment="1">
      <alignment vertical="center"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Readme">
    <tabColor rgb="FF1F3864"/>
    <pageSetUpPr fitToPage="1"/>
  </sheetPr>
  <dimension ref="A1:C70"/>
  <sheetViews>
    <sheetView showGridLines="0" tabSelected="1" zoomScale="90" zoomScaleNormal="90" workbookViewId="0"/>
  </sheetViews>
  <sheetFormatPr defaultRowHeight="15"/>
  <cols>
    <col min="1" max="1" width="2.7109375" customWidth="1"/>
    <col min="2" max="2" width="30.7109375" customWidth="1"/>
    <col min="3" max="3" width="100.7109375" customWidth="1"/>
  </cols>
  <sheetData>
    <row r="1" spans="2:3" ht="34" customHeight="1">
      <c r="B1" s="1" t="s">
        <v>0</v>
      </c>
    </row>
    <row r="2" spans="2:3">
      <c r="B2" s="2" t="s">
        <v>1</v>
      </c>
    </row>
    <row r="5" spans="2:3">
      <c r="B5" s="3" t="s">
        <v>2</v>
      </c>
      <c r="C5" s="3"/>
    </row>
    <row r="6" spans="2:3" ht="28" customHeight="1">
      <c r="B6" s="4" t="s">
        <v>3</v>
      </c>
      <c r="C6" s="5" t="s">
        <v>4</v>
      </c>
    </row>
    <row r="7" spans="2:3" ht="28" customHeight="1">
      <c r="B7" s="4" t="s">
        <v>5</v>
      </c>
      <c r="C7" s="5" t="s">
        <v>6</v>
      </c>
    </row>
    <row r="8" spans="2:3" ht="28" customHeight="1">
      <c r="B8" s="4" t="s">
        <v>7</v>
      </c>
      <c r="C8" s="5" t="s">
        <v>8</v>
      </c>
    </row>
    <row r="9" spans="2:3" ht="16" customHeight="1">
      <c r="B9" s="4" t="s">
        <v>9</v>
      </c>
      <c r="C9" s="5" t="s">
        <v>10</v>
      </c>
    </row>
    <row r="10" spans="2:3" ht="28" customHeight="1">
      <c r="B10" s="4" t="s">
        <v>11</v>
      </c>
      <c r="C10" s="5" t="s">
        <v>12</v>
      </c>
    </row>
    <row r="11" spans="2:3" ht="28" customHeight="1">
      <c r="B11" s="4" t="s">
        <v>13</v>
      </c>
      <c r="C11" s="5" t="s">
        <v>14</v>
      </c>
    </row>
    <row r="12" spans="2:3" ht="28" customHeight="1">
      <c r="B12" s="4" t="s">
        <v>15</v>
      </c>
      <c r="C12" s="5" t="s">
        <v>16</v>
      </c>
    </row>
    <row r="14" spans="2:3">
      <c r="B14" s="3" t="s">
        <v>17</v>
      </c>
      <c r="C14" s="3"/>
    </row>
    <row r="15" spans="2:3" ht="40" customHeight="1">
      <c r="B15" s="4" t="s">
        <v>18</v>
      </c>
      <c r="C15" s="5" t="s">
        <v>19</v>
      </c>
    </row>
    <row r="16" spans="2:3" ht="40" customHeight="1">
      <c r="B16" s="4" t="s">
        <v>20</v>
      </c>
      <c r="C16" s="5" t="s">
        <v>21</v>
      </c>
    </row>
    <row r="17" spans="2:3" ht="40" customHeight="1">
      <c r="B17" s="4" t="s">
        <v>22</v>
      </c>
      <c r="C17" s="5" t="s">
        <v>903</v>
      </c>
    </row>
    <row r="18" spans="2:3" ht="28" customHeight="1">
      <c r="B18" s="4" t="s">
        <v>24</v>
      </c>
      <c r="C18" s="5" t="s">
        <v>25</v>
      </c>
    </row>
    <row r="19" spans="2:3" ht="40" customHeight="1">
      <c r="B19" s="4" t="s">
        <v>26</v>
      </c>
      <c r="C19" s="5" t="s">
        <v>27</v>
      </c>
    </row>
    <row r="20" spans="2:3" ht="28" customHeight="1">
      <c r="B20" s="4" t="s">
        <v>28</v>
      </c>
      <c r="C20" s="5" t="s">
        <v>29</v>
      </c>
    </row>
    <row r="21" spans="2:3" ht="40" customHeight="1">
      <c r="B21" s="4" t="s">
        <v>30</v>
      </c>
      <c r="C21" s="5" t="s">
        <v>31</v>
      </c>
    </row>
    <row r="23" spans="2:3">
      <c r="B23" s="3" t="s">
        <v>32</v>
      </c>
      <c r="C23" s="3"/>
    </row>
    <row r="24" spans="2:3" ht="28" customHeight="1">
      <c r="B24" s="4" t="s">
        <v>33</v>
      </c>
      <c r="C24" s="5" t="s">
        <v>917</v>
      </c>
    </row>
    <row r="25" spans="2:3">
      <c r="B25" s="4" t="s">
        <v>35</v>
      </c>
      <c r="C25" s="5" t="s">
        <v>36</v>
      </c>
    </row>
    <row r="26" spans="2:3">
      <c r="B26" s="4" t="s">
        <v>37</v>
      </c>
      <c r="C26" s="5" t="s">
        <v>38</v>
      </c>
    </row>
    <row r="27" spans="2:3" ht="28" customHeight="1">
      <c r="B27" s="4" t="s">
        <v>39</v>
      </c>
      <c r="C27" s="5" t="s">
        <v>40</v>
      </c>
    </row>
    <row r="28" spans="2:3">
      <c r="B28" s="4" t="s">
        <v>41</v>
      </c>
      <c r="C28" s="5" t="s">
        <v>42</v>
      </c>
    </row>
    <row r="29" spans="2:3" ht="28" customHeight="1">
      <c r="B29" s="4" t="s">
        <v>43</v>
      </c>
      <c r="C29" s="5" t="s">
        <v>918</v>
      </c>
    </row>
    <row r="30" spans="2:3" ht="28" customHeight="1">
      <c r="B30" s="4" t="s">
        <v>45</v>
      </c>
      <c r="C30" s="5" t="s">
        <v>904</v>
      </c>
    </row>
    <row r="31" spans="2:3">
      <c r="B31" s="4" t="s">
        <v>47</v>
      </c>
      <c r="C31" s="5" t="s">
        <v>48</v>
      </c>
    </row>
    <row r="32" spans="2:3">
      <c r="B32" s="4" t="s">
        <v>49</v>
      </c>
      <c r="C32" s="5" t="s">
        <v>50</v>
      </c>
    </row>
    <row r="33" spans="2:3" ht="28" customHeight="1">
      <c r="B33" s="4" t="s">
        <v>51</v>
      </c>
      <c r="C33" s="5" t="s">
        <v>52</v>
      </c>
    </row>
    <row r="34" spans="2:3">
      <c r="B34" s="4" t="s">
        <v>53</v>
      </c>
      <c r="C34" s="5" t="s">
        <v>54</v>
      </c>
    </row>
    <row r="36" spans="2:3">
      <c r="B36" s="3" t="s">
        <v>55</v>
      </c>
      <c r="C36" s="3"/>
    </row>
    <row r="37" spans="2:3">
      <c r="B37" s="4" t="s">
        <v>56</v>
      </c>
      <c r="C37" s="5" t="s">
        <v>57</v>
      </c>
    </row>
    <row r="38" spans="2:3">
      <c r="B38" s="4" t="s">
        <v>58</v>
      </c>
      <c r="C38" s="5" t="s">
        <v>59</v>
      </c>
    </row>
    <row r="39" spans="2:3">
      <c r="B39" s="4" t="s">
        <v>60</v>
      </c>
      <c r="C39" s="5" t="s">
        <v>61</v>
      </c>
    </row>
    <row r="40" spans="2:3">
      <c r="B40" s="4" t="s">
        <v>62</v>
      </c>
      <c r="C40" s="5" t="s">
        <v>63</v>
      </c>
    </row>
    <row r="41" spans="2:3">
      <c r="B41" s="4" t="s">
        <v>64</v>
      </c>
      <c r="C41" s="5" t="s">
        <v>65</v>
      </c>
    </row>
    <row r="42" spans="2:3">
      <c r="B42" s="4" t="s">
        <v>66</v>
      </c>
      <c r="C42" s="5" t="s">
        <v>67</v>
      </c>
    </row>
    <row r="43" spans="2:3">
      <c r="B43" s="4" t="s">
        <v>68</v>
      </c>
      <c r="C43" s="5" t="s">
        <v>69</v>
      </c>
    </row>
    <row r="44" spans="2:3">
      <c r="B44" s="4" t="s">
        <v>70</v>
      </c>
      <c r="C44" s="5" t="s">
        <v>71</v>
      </c>
    </row>
    <row r="45" spans="2:3">
      <c r="B45" s="4" t="s">
        <v>72</v>
      </c>
      <c r="C45" s="5" t="s">
        <v>73</v>
      </c>
    </row>
    <row r="46" spans="2:3">
      <c r="B46" s="4" t="s">
        <v>74</v>
      </c>
      <c r="C46" s="5" t="s">
        <v>75</v>
      </c>
    </row>
    <row r="47" spans="2:3">
      <c r="B47" s="4" t="s">
        <v>76</v>
      </c>
      <c r="C47" s="5" t="s">
        <v>77</v>
      </c>
    </row>
    <row r="49" spans="2:3">
      <c r="B49" s="3" t="s">
        <v>78</v>
      </c>
      <c r="C49" s="3"/>
    </row>
    <row r="50" spans="2:3">
      <c r="B50" s="4" t="s">
        <v>79</v>
      </c>
      <c r="C50" s="5" t="s">
        <v>80</v>
      </c>
    </row>
    <row r="51" spans="2:3">
      <c r="B51" s="4" t="s">
        <v>81</v>
      </c>
      <c r="C51" s="5" t="s">
        <v>41</v>
      </c>
    </row>
    <row r="52" spans="2:3">
      <c r="B52" s="4" t="s">
        <v>82</v>
      </c>
      <c r="C52" s="5" t="s">
        <v>83</v>
      </c>
    </row>
    <row r="53" spans="2:3">
      <c r="B53" s="4" t="s">
        <v>84</v>
      </c>
      <c r="C53" s="5" t="s">
        <v>85</v>
      </c>
    </row>
    <row r="54" spans="2:3">
      <c r="B54" s="4" t="s">
        <v>86</v>
      </c>
      <c r="C54" s="5" t="s">
        <v>87</v>
      </c>
    </row>
    <row r="55" spans="2:3">
      <c r="B55" s="4" t="s">
        <v>88</v>
      </c>
      <c r="C55" s="5" t="s">
        <v>89</v>
      </c>
    </row>
    <row r="56" spans="2:3">
      <c r="B56" s="4" t="s">
        <v>90</v>
      </c>
      <c r="C56" s="5" t="s">
        <v>91</v>
      </c>
    </row>
    <row r="57" spans="2:3">
      <c r="B57" s="4" t="s">
        <v>92</v>
      </c>
      <c r="C57" s="5" t="s">
        <v>93</v>
      </c>
    </row>
    <row r="58" spans="2:3">
      <c r="B58" s="4" t="s">
        <v>94</v>
      </c>
      <c r="C58" s="5" t="s">
        <v>95</v>
      </c>
    </row>
    <row r="59" spans="2:3">
      <c r="B59" s="4" t="s">
        <v>96</v>
      </c>
      <c r="C59" s="5" t="s">
        <v>97</v>
      </c>
    </row>
    <row r="61" spans="2:3">
      <c r="B61" s="3" t="s">
        <v>98</v>
      </c>
      <c r="C61" s="3"/>
    </row>
    <row r="62" spans="2:3" ht="28" customHeight="1">
      <c r="B62" s="4" t="s">
        <v>99</v>
      </c>
      <c r="C62" s="5" t="s">
        <v>905</v>
      </c>
    </row>
    <row r="63" spans="2:3" ht="28" customHeight="1">
      <c r="B63" s="4" t="s">
        <v>907</v>
      </c>
      <c r="C63" s="5" t="s">
        <v>906</v>
      </c>
    </row>
    <row r="64" spans="2:3">
      <c r="B64" s="4" t="s">
        <v>103</v>
      </c>
      <c r="C64" s="5" t="s">
        <v>919</v>
      </c>
    </row>
    <row r="65" spans="2:3">
      <c r="B65" s="4" t="s">
        <v>105</v>
      </c>
      <c r="C65" s="5" t="s">
        <v>106</v>
      </c>
    </row>
    <row r="66" spans="2:3">
      <c r="B66" s="4" t="s">
        <v>107</v>
      </c>
      <c r="C66" s="5" t="s">
        <v>108</v>
      </c>
    </row>
    <row r="67" spans="2:3" ht="28" customHeight="1">
      <c r="B67" s="4" t="s">
        <v>109</v>
      </c>
      <c r="C67" s="5" t="s">
        <v>110</v>
      </c>
    </row>
    <row r="69" spans="2:3">
      <c r="B69" s="3" t="s">
        <v>111</v>
      </c>
      <c r="C69" s="3"/>
    </row>
    <row r="70" spans="2:3" ht="28" customHeight="1">
      <c r="B70" s="4" t="s">
        <v>112</v>
      </c>
      <c r="C70" s="5" t="s">
        <v>113</v>
      </c>
    </row>
  </sheetData>
  <mergeCells count="7">
    <mergeCell ref="B5:C5"/>
    <mergeCell ref="B14:C14"/>
    <mergeCell ref="B23:C23"/>
    <mergeCell ref="B36:C36"/>
    <mergeCell ref="B49:C49"/>
    <mergeCell ref="B61:C61"/>
    <mergeCell ref="B69:C69"/>
  </mergeCells>
  <pageMargins left="0.4" right="0.4" top="0.5" bottom="0.5" header="0.3" footer="0.3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Params">
    <tabColor rgb="FFBF9000"/>
    <pageSetUpPr fitToPage="1"/>
  </sheetPr>
  <dimension ref="A1:I62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3" width="16.7109375" customWidth="1"/>
    <col min="4" max="4" width="30.7109375" customWidth="1"/>
    <col min="5" max="6" width="16.7109375" customWidth="1"/>
    <col min="7" max="7" width="18.7109375" customWidth="1"/>
    <col min="8" max="8" width="10.7109375" customWidth="1"/>
    <col min="9" max="9" width="50.7109375" customWidth="1"/>
  </cols>
  <sheetData>
    <row r="1" spans="1:9">
      <c r="A1" s="1" t="s">
        <v>114</v>
      </c>
    </row>
    <row r="2" spans="1:9">
      <c r="A2" s="2" t="s">
        <v>115</v>
      </c>
    </row>
    <row r="4" spans="1:9" ht="42" customHeight="1">
      <c r="A4" s="6" t="s">
        <v>111</v>
      </c>
      <c r="B4" s="6" t="s">
        <v>116</v>
      </c>
      <c r="C4" s="6" t="s">
        <v>117</v>
      </c>
      <c r="D4" s="6" t="s">
        <v>118</v>
      </c>
      <c r="E4" s="6"/>
      <c r="F4" s="6"/>
      <c r="G4" s="6"/>
      <c r="H4" s="6"/>
      <c r="I4" s="6"/>
    </row>
    <row r="5" spans="1:9">
      <c r="A5" s="7" t="s">
        <v>119</v>
      </c>
      <c r="B5" s="8" t="s">
        <v>120</v>
      </c>
      <c r="C5" s="9">
        <v>46295</v>
      </c>
      <c r="D5" s="10"/>
    </row>
    <row r="6" spans="1:9">
      <c r="A6" s="7" t="s">
        <v>121</v>
      </c>
      <c r="B6" s="8" t="s">
        <v>122</v>
      </c>
      <c r="C6" s="11" t="s">
        <v>123</v>
      </c>
      <c r="D6" s="10"/>
    </row>
    <row r="7" spans="1:9">
      <c r="A7" s="7" t="s">
        <v>124</v>
      </c>
      <c r="B7" s="8" t="s">
        <v>125</v>
      </c>
      <c r="C7" s="12">
        <v>1.4</v>
      </c>
      <c r="D7" s="10" t="s">
        <v>126</v>
      </c>
    </row>
    <row r="8" spans="1:9">
      <c r="A8" s="7" t="s">
        <v>127</v>
      </c>
      <c r="B8" s="8" t="s">
        <v>128</v>
      </c>
      <c r="C8" s="13">
        <v>0.05</v>
      </c>
      <c r="D8" s="10" t="s">
        <v>129</v>
      </c>
    </row>
    <row r="9" spans="1:9">
      <c r="A9" s="7" t="s">
        <v>130</v>
      </c>
      <c r="B9" s="8" t="s">
        <v>131</v>
      </c>
      <c r="C9" s="12">
        <v>365</v>
      </c>
      <c r="D9" s="10"/>
    </row>
    <row r="10" spans="1:9">
      <c r="A10" s="7" t="s">
        <v>132</v>
      </c>
      <c r="B10" s="8" t="s">
        <v>133</v>
      </c>
      <c r="C10" s="12">
        <v>250</v>
      </c>
      <c r="D10" s="10" t="s">
        <v>134</v>
      </c>
    </row>
    <row r="11" spans="1:9">
      <c r="A11" s="7" t="s">
        <v>135</v>
      </c>
      <c r="B11" s="8" t="s">
        <v>136</v>
      </c>
      <c r="C11" s="12">
        <v>10</v>
      </c>
      <c r="D11" s="10" t="s">
        <v>137</v>
      </c>
    </row>
    <row r="12" spans="1:9">
      <c r="A12" s="7" t="s">
        <v>138</v>
      </c>
      <c r="B12" s="8" t="s">
        <v>139</v>
      </c>
      <c r="C12" s="12">
        <v>10</v>
      </c>
      <c r="D12" s="10" t="s">
        <v>140</v>
      </c>
    </row>
    <row r="13" spans="1:9">
      <c r="A13" s="7" t="s">
        <v>141</v>
      </c>
      <c r="B13" s="8" t="s">
        <v>142</v>
      </c>
      <c r="C13" s="12">
        <v>10</v>
      </c>
      <c r="D13" s="10" t="s">
        <v>143</v>
      </c>
    </row>
    <row r="14" spans="1:9">
      <c r="A14" s="7" t="s">
        <v>144</v>
      </c>
      <c r="B14" s="8" t="s">
        <v>920</v>
      </c>
      <c r="C14" s="12">
        <v>5</v>
      </c>
      <c r="D14" s="10" t="s">
        <v>146</v>
      </c>
    </row>
    <row r="15" spans="1:9">
      <c r="A15" s="7" t="s">
        <v>147</v>
      </c>
      <c r="B15" s="8" t="s">
        <v>148</v>
      </c>
      <c r="C15" s="12">
        <v>20</v>
      </c>
      <c r="D15" s="10" t="s">
        <v>143</v>
      </c>
    </row>
    <row r="16" spans="1:9">
      <c r="A16" s="7" t="s">
        <v>149</v>
      </c>
      <c r="B16" s="8" t="s">
        <v>150</v>
      </c>
      <c r="C16" s="12">
        <v>0.5</v>
      </c>
      <c r="D16" s="10" t="s">
        <v>151</v>
      </c>
    </row>
    <row r="17" spans="1:9">
      <c r="A17" s="7" t="s">
        <v>152</v>
      </c>
      <c r="B17" s="8" t="s">
        <v>153</v>
      </c>
      <c r="C17" s="12">
        <v>5</v>
      </c>
      <c r="D17" s="10" t="s">
        <v>154</v>
      </c>
    </row>
    <row r="18" spans="1:9">
      <c r="A18" s="7" t="s">
        <v>155</v>
      </c>
      <c r="B18" s="8" t="s">
        <v>156</v>
      </c>
      <c r="C18" s="12">
        <v>0.7</v>
      </c>
      <c r="D18" s="10" t="s">
        <v>157</v>
      </c>
    </row>
    <row r="19" spans="1:9">
      <c r="A19" s="7" t="s">
        <v>158</v>
      </c>
      <c r="B19" s="8" t="s">
        <v>159</v>
      </c>
      <c r="C19" s="12">
        <v>0.7</v>
      </c>
      <c r="D19" s="10" t="s">
        <v>157</v>
      </c>
    </row>
    <row r="20" spans="1:9">
      <c r="A20" s="7" t="s">
        <v>160</v>
      </c>
      <c r="B20" s="8" t="s">
        <v>161</v>
      </c>
      <c r="C20" s="12">
        <v>0.3</v>
      </c>
      <c r="D20" s="10" t="s">
        <v>157</v>
      </c>
    </row>
    <row r="21" spans="1:9">
      <c r="A21" s="7" t="s">
        <v>162</v>
      </c>
      <c r="B21" s="8" t="s">
        <v>163</v>
      </c>
      <c r="C21" s="14" t="b">
        <v>1</v>
      </c>
      <c r="D21" s="10" t="s">
        <v>908</v>
      </c>
    </row>
    <row r="22" spans="1:9">
      <c r="A22" s="7" t="s">
        <v>165</v>
      </c>
      <c r="B22" s="8" t="s">
        <v>166</v>
      </c>
      <c r="C22" s="11" t="s">
        <v>167</v>
      </c>
      <c r="D22" s="10" t="s">
        <v>168</v>
      </c>
      <c r="E22" s="15" t="s">
        <v>174</v>
      </c>
    </row>
    <row r="23" spans="1:9">
      <c r="A23" s="7" t="s">
        <v>169</v>
      </c>
      <c r="B23" s="8" t="s">
        <v>170</v>
      </c>
      <c r="C23" s="13">
        <v>0.001</v>
      </c>
      <c r="D23" s="10" t="s">
        <v>171</v>
      </c>
    </row>
    <row r="24" spans="1:9">
      <c r="A24" s="7" t="s">
        <v>172</v>
      </c>
      <c r="B24" s="8" t="s">
        <v>173</v>
      </c>
      <c r="C24" s="12">
        <v>0.1</v>
      </c>
      <c r="D24" s="10" t="s">
        <v>171</v>
      </c>
    </row>
    <row r="26" spans="1:9">
      <c r="A26" s="3" t="s">
        <v>175</v>
      </c>
    </row>
    <row r="27" spans="1:9" ht="30" customHeight="1">
      <c r="A27" s="6" t="s">
        <v>176</v>
      </c>
      <c r="B27" s="6" t="s">
        <v>177</v>
      </c>
      <c r="C27" s="6" t="s">
        <v>178</v>
      </c>
      <c r="D27" s="6" t="s">
        <v>179</v>
      </c>
      <c r="E27" s="6" t="s">
        <v>180</v>
      </c>
      <c r="F27" s="6" t="s">
        <v>181</v>
      </c>
      <c r="G27" s="6" t="s">
        <v>182</v>
      </c>
      <c r="H27" s="6" t="s">
        <v>183</v>
      </c>
      <c r="I27" s="6" t="s">
        <v>118</v>
      </c>
    </row>
    <row r="28" spans="1:9">
      <c r="A28" s="7" t="s">
        <v>45</v>
      </c>
      <c r="B28" s="8" t="s">
        <v>45</v>
      </c>
      <c r="C28" s="8"/>
      <c r="D28" s="13">
        <v>0.005</v>
      </c>
      <c r="E28" s="16"/>
      <c r="F28" s="16">
        <v>0.5</v>
      </c>
      <c r="G28" s="14"/>
      <c r="H28" s="11" t="s">
        <v>184</v>
      </c>
      <c r="I28" s="17" t="s">
        <v>185</v>
      </c>
    </row>
    <row r="29" spans="1:9">
      <c r="A29" s="7" t="s">
        <v>47</v>
      </c>
      <c r="B29" s="8" t="s">
        <v>47</v>
      </c>
      <c r="C29" s="8"/>
      <c r="D29" s="13">
        <v>0.04</v>
      </c>
      <c r="E29" s="16"/>
      <c r="F29" s="16">
        <v>0.15</v>
      </c>
      <c r="G29" s="14"/>
      <c r="H29" s="11" t="s">
        <v>184</v>
      </c>
      <c r="I29" s="17" t="s">
        <v>186</v>
      </c>
    </row>
    <row r="30" spans="1:9">
      <c r="A30" s="7" t="s">
        <v>187</v>
      </c>
      <c r="B30" s="8" t="s">
        <v>188</v>
      </c>
      <c r="C30" s="8" t="s">
        <v>189</v>
      </c>
      <c r="D30" s="13">
        <v>0.0038</v>
      </c>
      <c r="E30" s="16">
        <v>0.5</v>
      </c>
      <c r="F30" s="16">
        <v>1</v>
      </c>
      <c r="G30" s="14"/>
      <c r="H30" s="11" t="s">
        <v>184</v>
      </c>
      <c r="I30" s="17" t="s">
        <v>190</v>
      </c>
    </row>
    <row r="31" spans="1:9">
      <c r="A31" s="7" t="s">
        <v>191</v>
      </c>
      <c r="B31" s="8" t="s">
        <v>188</v>
      </c>
      <c r="C31" s="8" t="s">
        <v>192</v>
      </c>
      <c r="D31" s="13">
        <v>0.0038</v>
      </c>
      <c r="E31" s="16">
        <v>0.5</v>
      </c>
      <c r="F31" s="16">
        <v>1</v>
      </c>
      <c r="G31" s="14"/>
      <c r="H31" s="11" t="s">
        <v>184</v>
      </c>
      <c r="I31" s="17" t="s">
        <v>190</v>
      </c>
    </row>
    <row r="32" spans="1:9">
      <c r="A32" s="7" t="s">
        <v>193</v>
      </c>
      <c r="B32" s="8" t="s">
        <v>188</v>
      </c>
      <c r="C32" s="8" t="s">
        <v>194</v>
      </c>
      <c r="D32" s="13">
        <v>0.0042</v>
      </c>
      <c r="E32" s="16">
        <v>0.5</v>
      </c>
      <c r="F32" s="16">
        <v>1</v>
      </c>
      <c r="G32" s="14"/>
      <c r="H32" s="11" t="s">
        <v>184</v>
      </c>
      <c r="I32" s="17" t="s">
        <v>190</v>
      </c>
    </row>
    <row r="33" spans="1:9">
      <c r="A33" s="7" t="s">
        <v>195</v>
      </c>
      <c r="B33" s="8" t="s">
        <v>188</v>
      </c>
      <c r="C33" s="8" t="s">
        <v>196</v>
      </c>
      <c r="D33" s="13">
        <v>0.0054</v>
      </c>
      <c r="E33" s="16">
        <v>0.5</v>
      </c>
      <c r="F33" s="16">
        <v>1</v>
      </c>
      <c r="G33" s="14"/>
      <c r="H33" s="11" t="s">
        <v>184</v>
      </c>
      <c r="I33" s="17" t="s">
        <v>190</v>
      </c>
    </row>
    <row r="34" spans="1:9">
      <c r="A34" s="7" t="s">
        <v>197</v>
      </c>
      <c r="B34" s="8" t="s">
        <v>188</v>
      </c>
      <c r="C34" s="8" t="s">
        <v>198</v>
      </c>
      <c r="D34" s="13">
        <v>0.0106</v>
      </c>
      <c r="E34" s="16">
        <v>0.5</v>
      </c>
      <c r="F34" s="16">
        <v>1</v>
      </c>
      <c r="G34" s="14"/>
      <c r="H34" s="11" t="s">
        <v>184</v>
      </c>
      <c r="I34" s="17" t="s">
        <v>190</v>
      </c>
    </row>
    <row r="35" spans="1:9">
      <c r="A35" s="7" t="s">
        <v>199</v>
      </c>
      <c r="B35" s="8" t="s">
        <v>188</v>
      </c>
      <c r="C35" s="8" t="s">
        <v>200</v>
      </c>
      <c r="D35" s="13">
        <v>0.016</v>
      </c>
      <c r="E35" s="16">
        <v>0.5</v>
      </c>
      <c r="F35" s="16">
        <v>1</v>
      </c>
      <c r="G35" s="14"/>
      <c r="H35" s="11" t="s">
        <v>184</v>
      </c>
      <c r="I35" s="17" t="s">
        <v>190</v>
      </c>
    </row>
    <row r="36" spans="1:9">
      <c r="A36" s="7" t="s">
        <v>201</v>
      </c>
      <c r="B36" s="8" t="s">
        <v>188</v>
      </c>
      <c r="C36" s="8" t="s">
        <v>202</v>
      </c>
      <c r="D36" s="13">
        <v>0.06</v>
      </c>
      <c r="E36" s="16">
        <v>0.5</v>
      </c>
      <c r="F36" s="16">
        <v>1</v>
      </c>
      <c r="G36" s="14"/>
      <c r="H36" s="11" t="s">
        <v>184</v>
      </c>
      <c r="I36" s="17" t="s">
        <v>190</v>
      </c>
    </row>
    <row r="37" spans="1:9">
      <c r="A37" s="7" t="s">
        <v>203</v>
      </c>
      <c r="B37" s="8" t="s">
        <v>188</v>
      </c>
      <c r="C37" s="8" t="s">
        <v>204</v>
      </c>
      <c r="D37" s="13">
        <v>0.0038</v>
      </c>
      <c r="E37" s="16">
        <v>0.5</v>
      </c>
      <c r="F37" s="16">
        <v>1</v>
      </c>
      <c r="G37" s="14"/>
      <c r="H37" s="11" t="s">
        <v>184</v>
      </c>
      <c r="I37" s="17" t="s">
        <v>205</v>
      </c>
    </row>
    <row r="38" spans="1:9">
      <c r="A38" s="7" t="s">
        <v>206</v>
      </c>
      <c r="B38" s="8" t="s">
        <v>188</v>
      </c>
      <c r="C38" s="8" t="s">
        <v>207</v>
      </c>
      <c r="D38" s="13">
        <v>0.0042</v>
      </c>
      <c r="E38" s="16">
        <v>0.5</v>
      </c>
      <c r="F38" s="16">
        <v>1</v>
      </c>
      <c r="G38" s="14"/>
      <c r="H38" s="11" t="s">
        <v>184</v>
      </c>
      <c r="I38" s="17" t="s">
        <v>205</v>
      </c>
    </row>
    <row r="39" spans="1:9">
      <c r="A39" s="7" t="s">
        <v>208</v>
      </c>
      <c r="B39" s="8" t="s">
        <v>188</v>
      </c>
      <c r="C39" s="8" t="s">
        <v>209</v>
      </c>
      <c r="D39" s="13">
        <v>0.0054</v>
      </c>
      <c r="E39" s="16">
        <v>0.5</v>
      </c>
      <c r="F39" s="16">
        <v>1</v>
      </c>
      <c r="G39" s="14"/>
      <c r="H39" s="11" t="s">
        <v>184</v>
      </c>
      <c r="I39" s="17" t="s">
        <v>205</v>
      </c>
    </row>
    <row r="40" spans="1:9">
      <c r="A40" s="7" t="s">
        <v>210</v>
      </c>
      <c r="B40" s="8" t="s">
        <v>188</v>
      </c>
      <c r="C40" s="8" t="s">
        <v>211</v>
      </c>
      <c r="D40" s="13">
        <v>0.0106</v>
      </c>
      <c r="E40" s="16">
        <v>0.5</v>
      </c>
      <c r="F40" s="16">
        <v>1</v>
      </c>
      <c r="G40" s="14"/>
      <c r="H40" s="11" t="s">
        <v>184</v>
      </c>
      <c r="I40" s="17" t="s">
        <v>205</v>
      </c>
    </row>
    <row r="41" spans="1:9">
      <c r="A41" s="7" t="s">
        <v>212</v>
      </c>
      <c r="B41" s="8" t="s">
        <v>188</v>
      </c>
      <c r="C41" s="8" t="s">
        <v>213</v>
      </c>
      <c r="D41" s="13">
        <v>0.016</v>
      </c>
      <c r="E41" s="16">
        <v>0.5</v>
      </c>
      <c r="F41" s="16">
        <v>1</v>
      </c>
      <c r="G41" s="14"/>
      <c r="H41" s="11" t="s">
        <v>184</v>
      </c>
      <c r="I41" s="17" t="s">
        <v>205</v>
      </c>
    </row>
    <row r="42" spans="1:9">
      <c r="A42" s="7" t="s">
        <v>214</v>
      </c>
      <c r="B42" s="8" t="s">
        <v>188</v>
      </c>
      <c r="C42" s="8" t="s">
        <v>215</v>
      </c>
      <c r="D42" s="13">
        <v>0.06</v>
      </c>
      <c r="E42" s="16">
        <v>0.5</v>
      </c>
      <c r="F42" s="16">
        <v>1</v>
      </c>
      <c r="G42" s="14"/>
      <c r="H42" s="11" t="s">
        <v>184</v>
      </c>
      <c r="I42" s="17" t="s">
        <v>205</v>
      </c>
    </row>
    <row r="43" spans="1:9">
      <c r="A43" s="7" t="s">
        <v>216</v>
      </c>
      <c r="B43" s="8" t="s">
        <v>188</v>
      </c>
      <c r="C43" s="8" t="s">
        <v>217</v>
      </c>
      <c r="D43" s="13">
        <v>0.0038</v>
      </c>
      <c r="E43" s="16">
        <v>0.8</v>
      </c>
      <c r="F43" s="16">
        <v>0.8</v>
      </c>
      <c r="G43" s="14"/>
      <c r="H43" s="11" t="s">
        <v>184</v>
      </c>
      <c r="I43" s="17" t="s">
        <v>218</v>
      </c>
    </row>
    <row r="44" spans="1:9">
      <c r="A44" s="7" t="s">
        <v>219</v>
      </c>
      <c r="B44" s="8" t="s">
        <v>188</v>
      </c>
      <c r="C44" s="8" t="s">
        <v>220</v>
      </c>
      <c r="D44" s="13">
        <v>0.0106</v>
      </c>
      <c r="E44" s="16">
        <v>0.8</v>
      </c>
      <c r="F44" s="16">
        <v>0.8</v>
      </c>
      <c r="G44" s="14"/>
      <c r="H44" s="11" t="s">
        <v>184</v>
      </c>
      <c r="I44" s="17" t="s">
        <v>218</v>
      </c>
    </row>
    <row r="45" spans="1:9">
      <c r="A45" s="7" t="s">
        <v>221</v>
      </c>
      <c r="B45" s="8" t="s">
        <v>222</v>
      </c>
      <c r="C45" s="8" t="s">
        <v>223</v>
      </c>
      <c r="D45" s="13">
        <v>0.32</v>
      </c>
      <c r="E45" s="16">
        <v>0.5</v>
      </c>
      <c r="F45" s="16">
        <v>1.2</v>
      </c>
      <c r="G45" s="14"/>
      <c r="H45" s="11" t="s">
        <v>184</v>
      </c>
      <c r="I45" s="17" t="s">
        <v>224</v>
      </c>
    </row>
    <row r="46" spans="1:9">
      <c r="A46" s="7" t="s">
        <v>225</v>
      </c>
      <c r="B46" s="8" t="s">
        <v>222</v>
      </c>
      <c r="C46" s="8" t="s">
        <v>226</v>
      </c>
      <c r="D46" s="13">
        <v>0.2</v>
      </c>
      <c r="E46" s="16">
        <v>0.8</v>
      </c>
      <c r="F46" s="16">
        <v>0.75</v>
      </c>
      <c r="G46" s="14"/>
      <c r="H46" s="11" t="s">
        <v>184</v>
      </c>
      <c r="I46" s="17" t="s">
        <v>224</v>
      </c>
    </row>
    <row r="47" spans="1:9">
      <c r="A47" s="7" t="s">
        <v>227</v>
      </c>
      <c r="B47" s="8" t="s">
        <v>51</v>
      </c>
      <c r="C47" s="8" t="s">
        <v>228</v>
      </c>
      <c r="D47" s="13">
        <v>0.4</v>
      </c>
      <c r="E47" s="16">
        <v>0.4</v>
      </c>
      <c r="F47" s="16">
        <v>1.5</v>
      </c>
      <c r="G47" s="11" t="s">
        <v>229</v>
      </c>
      <c r="H47" s="11" t="s">
        <v>184</v>
      </c>
      <c r="I47" s="17" t="s">
        <v>190</v>
      </c>
    </row>
    <row r="48" spans="1:9">
      <c r="A48" s="7" t="s">
        <v>230</v>
      </c>
      <c r="B48" s="8" t="s">
        <v>51</v>
      </c>
      <c r="C48" s="8" t="s">
        <v>231</v>
      </c>
      <c r="D48" s="13">
        <v>0.18</v>
      </c>
      <c r="E48" s="16">
        <v>0.4</v>
      </c>
      <c r="F48" s="16">
        <v>0.7</v>
      </c>
      <c r="G48" s="11" t="s">
        <v>229</v>
      </c>
      <c r="H48" s="11" t="s">
        <v>184</v>
      </c>
      <c r="I48" s="17" t="s">
        <v>190</v>
      </c>
    </row>
    <row r="49" spans="1:9">
      <c r="A49" s="7" t="s">
        <v>232</v>
      </c>
      <c r="B49" s="8" t="s">
        <v>51</v>
      </c>
      <c r="C49" s="8" t="s">
        <v>233</v>
      </c>
      <c r="D49" s="13">
        <v>0.18</v>
      </c>
      <c r="E49" s="16">
        <v>0.4</v>
      </c>
      <c r="F49" s="16">
        <v>0.7</v>
      </c>
      <c r="G49" s="11" t="s">
        <v>233</v>
      </c>
      <c r="H49" s="11" t="s">
        <v>184</v>
      </c>
      <c r="I49" s="17" t="s">
        <v>190</v>
      </c>
    </row>
    <row r="50" spans="1:9">
      <c r="A50" s="7" t="s">
        <v>234</v>
      </c>
      <c r="B50" s="8" t="s">
        <v>51</v>
      </c>
      <c r="C50" s="8" t="s">
        <v>235</v>
      </c>
      <c r="D50" s="13">
        <v>0.18</v>
      </c>
      <c r="E50" s="16">
        <v>0.4</v>
      </c>
      <c r="F50" s="16">
        <v>0.7</v>
      </c>
      <c r="G50" s="11" t="s">
        <v>235</v>
      </c>
      <c r="H50" s="11" t="s">
        <v>184</v>
      </c>
      <c r="I50" s="17" t="s">
        <v>190</v>
      </c>
    </row>
    <row r="51" spans="1:9">
      <c r="A51" s="7" t="s">
        <v>236</v>
      </c>
      <c r="B51" s="8" t="s">
        <v>51</v>
      </c>
      <c r="C51" s="8" t="s">
        <v>237</v>
      </c>
      <c r="D51" s="13">
        <v>0.18</v>
      </c>
      <c r="E51" s="16">
        <v>0.4</v>
      </c>
      <c r="F51" s="16">
        <v>0.7</v>
      </c>
      <c r="G51" s="11" t="s">
        <v>237</v>
      </c>
      <c r="H51" s="11" t="s">
        <v>184</v>
      </c>
      <c r="I51" s="17" t="s">
        <v>190</v>
      </c>
    </row>
    <row r="52" spans="1:9">
      <c r="A52" s="7" t="s">
        <v>238</v>
      </c>
      <c r="B52" s="8" t="s">
        <v>51</v>
      </c>
      <c r="C52" s="8" t="s">
        <v>239</v>
      </c>
      <c r="D52" s="13">
        <v>0.18</v>
      </c>
      <c r="E52" s="16">
        <v>0.4</v>
      </c>
      <c r="F52" s="16">
        <v>0.7</v>
      </c>
      <c r="G52" s="11" t="s">
        <v>239</v>
      </c>
      <c r="H52" s="11" t="s">
        <v>167</v>
      </c>
      <c r="I52" s="18" t="s">
        <v>909</v>
      </c>
    </row>
    <row r="53" spans="1:9">
      <c r="A53" s="7" t="s">
        <v>241</v>
      </c>
      <c r="B53" s="8" t="s">
        <v>241</v>
      </c>
      <c r="C53" s="8"/>
      <c r="D53" s="13">
        <v>0.08</v>
      </c>
      <c r="E53" s="16"/>
      <c r="F53" s="16">
        <v>1.5</v>
      </c>
      <c r="G53" s="14"/>
      <c r="H53" s="11" t="s">
        <v>167</v>
      </c>
      <c r="I53" s="17" t="s">
        <v>242</v>
      </c>
    </row>
    <row r="55" spans="1:9">
      <c r="A55" s="3" t="s">
        <v>243</v>
      </c>
    </row>
    <row r="56" spans="1:9" ht="30" customHeight="1">
      <c r="A56" s="6" t="s">
        <v>244</v>
      </c>
      <c r="B56" s="6" t="s">
        <v>245</v>
      </c>
      <c r="C56" s="6" t="s">
        <v>246</v>
      </c>
    </row>
    <row r="57" spans="1:9">
      <c r="A57" s="11" t="s">
        <v>123</v>
      </c>
      <c r="B57" s="8" t="s">
        <v>247</v>
      </c>
      <c r="C57" s="19">
        <v>1</v>
      </c>
    </row>
    <row r="58" spans="1:9">
      <c r="A58" s="11" t="s">
        <v>248</v>
      </c>
      <c r="B58" s="8" t="s">
        <v>249</v>
      </c>
      <c r="C58" s="19">
        <v>0.86</v>
      </c>
    </row>
    <row r="59" spans="1:9">
      <c r="A59" s="11" t="s">
        <v>250</v>
      </c>
      <c r="B59" s="8" t="s">
        <v>251</v>
      </c>
      <c r="C59" s="19">
        <v>1.16</v>
      </c>
    </row>
    <row r="60" spans="1:9">
      <c r="A60" s="11" t="s">
        <v>252</v>
      </c>
      <c r="B60" s="8" t="s">
        <v>253</v>
      </c>
      <c r="C60" s="19">
        <v>0.0058</v>
      </c>
    </row>
    <row r="61" spans="1:9">
      <c r="A61" s="11" t="s">
        <v>254</v>
      </c>
      <c r="B61" s="8" t="s">
        <v>255</v>
      </c>
      <c r="C61" s="19">
        <v>1.07</v>
      </c>
    </row>
    <row r="62" spans="1:9">
      <c r="B62" s="15" t="s">
        <v>256</v>
      </c>
    </row>
  </sheetData>
  <dataValidations count="3">
    <dataValidation type="list" allowBlank="1" showInputMessage="1" showErrorMessage="1" sqref="C21">
      <formula1>"TRUE,FALSE"</formula1>
    </dataValidation>
    <dataValidation type="list" allowBlank="1" showInputMessage="1" showErrorMessage="1" sqref="C22">
      <formula1>"CRR,BCBS"</formula1>
    </dataValidation>
    <dataValidation type="list" allowBlank="1" showInputMessage="1" showErrorMessage="1" sqref="H28:H53">
      <formula1>"BOTH,CRR,BCBS"</formula1>
    </dataValidation>
  </dataValidations>
  <pageMargins left="0.4" right="0.4" top="0.5" bottom="0.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NettingSets">
    <tabColor rgb="FFBF9000"/>
    <pageSetUpPr fitToPage="1"/>
  </sheetPr>
  <dimension ref="A1:O204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52.7109375" customWidth="1"/>
    <col min="3" max="3" width="10.7109375" customWidth="1"/>
    <col min="4" max="4" width="11.7109375" customWidth="1"/>
    <col min="5" max="5" width="12.7109375" customWidth="1"/>
    <col min="6" max="6" width="15.7109375" customWidth="1"/>
    <col min="7" max="8" width="11.7109375" customWidth="1"/>
    <col min="9" max="9" width="16.7109375" customWidth="1"/>
    <col min="10" max="10" width="14.7109375" customWidth="1"/>
    <col min="11" max="12" width="13.7109375" customWidth="1"/>
    <col min="13" max="13" width="10.7109375" customWidth="1"/>
    <col min="14" max="14" width="13.7109375" customWidth="1"/>
    <col min="15" max="15" width="16.7109375" customWidth="1"/>
  </cols>
  <sheetData>
    <row r="1" spans="1:15">
      <c r="A1" s="1" t="s">
        <v>257</v>
      </c>
    </row>
    <row r="2" spans="1:15">
      <c r="A2" s="2" t="s">
        <v>921</v>
      </c>
    </row>
    <row r="4" spans="1:15" ht="42" customHeight="1">
      <c r="A4" s="6" t="s">
        <v>259</v>
      </c>
      <c r="B4" s="6" t="s">
        <v>260</v>
      </c>
      <c r="C4" s="6" t="s">
        <v>261</v>
      </c>
      <c r="D4" s="6" t="s">
        <v>922</v>
      </c>
      <c r="E4" s="6" t="s">
        <v>263</v>
      </c>
      <c r="F4" s="6" t="s">
        <v>264</v>
      </c>
      <c r="G4" s="6" t="s">
        <v>265</v>
      </c>
      <c r="H4" s="6" t="s">
        <v>266</v>
      </c>
      <c r="I4" s="6" t="s">
        <v>267</v>
      </c>
      <c r="J4" s="6" t="s">
        <v>268</v>
      </c>
      <c r="K4" s="6" t="s">
        <v>269</v>
      </c>
      <c r="L4" s="6" t="s">
        <v>270</v>
      </c>
      <c r="M4" s="6" t="s">
        <v>271</v>
      </c>
      <c r="N4" s="6" t="s">
        <v>272</v>
      </c>
      <c r="O4" s="6" t="s">
        <v>923</v>
      </c>
    </row>
    <row r="5" spans="1:15">
      <c r="A5" s="11" t="s">
        <v>273</v>
      </c>
      <c r="B5" s="14" t="s">
        <v>274</v>
      </c>
      <c r="C5" s="11" t="s">
        <v>275</v>
      </c>
      <c r="D5" s="11" t="s">
        <v>275</v>
      </c>
      <c r="E5" s="20"/>
      <c r="F5" s="11" t="s">
        <v>275</v>
      </c>
      <c r="G5" s="11" t="s">
        <v>275</v>
      </c>
      <c r="H5" s="20"/>
      <c r="I5" s="21">
        <v>0</v>
      </c>
      <c r="J5" s="21">
        <v>0</v>
      </c>
      <c r="K5" s="21">
        <v>0</v>
      </c>
      <c r="L5" s="21">
        <v>0</v>
      </c>
      <c r="M5" s="22"/>
      <c r="N5" s="11" t="s">
        <v>276</v>
      </c>
      <c r="O5" s="11"/>
    </row>
    <row r="6" spans="1:15">
      <c r="A6" s="11" t="s">
        <v>277</v>
      </c>
      <c r="B6" s="14" t="s">
        <v>278</v>
      </c>
      <c r="C6" s="11" t="s">
        <v>275</v>
      </c>
      <c r="D6" s="11" t="s">
        <v>275</v>
      </c>
      <c r="E6" s="20"/>
      <c r="F6" s="11" t="s">
        <v>275</v>
      </c>
      <c r="G6" s="11" t="s">
        <v>275</v>
      </c>
      <c r="H6" s="20"/>
      <c r="I6" s="21">
        <v>0</v>
      </c>
      <c r="J6" s="21">
        <v>0</v>
      </c>
      <c r="K6" s="21">
        <v>0</v>
      </c>
      <c r="L6" s="21">
        <v>0</v>
      </c>
      <c r="M6" s="22"/>
      <c r="N6" s="11" t="s">
        <v>276</v>
      </c>
      <c r="O6" s="11"/>
    </row>
    <row r="7" spans="1:15">
      <c r="A7" s="11" t="s">
        <v>279</v>
      </c>
      <c r="B7" s="14" t="s">
        <v>280</v>
      </c>
      <c r="C7" s="11" t="s">
        <v>275</v>
      </c>
      <c r="D7" s="11" t="s">
        <v>275</v>
      </c>
      <c r="E7" s="20"/>
      <c r="F7" s="11" t="s">
        <v>275</v>
      </c>
      <c r="G7" s="11" t="s">
        <v>275</v>
      </c>
      <c r="H7" s="20"/>
      <c r="I7" s="21">
        <v>0</v>
      </c>
      <c r="J7" s="21">
        <v>0</v>
      </c>
      <c r="K7" s="21">
        <v>0</v>
      </c>
      <c r="L7" s="21">
        <v>0</v>
      </c>
      <c r="M7" s="22"/>
      <c r="N7" s="11" t="s">
        <v>276</v>
      </c>
      <c r="O7" s="11"/>
    </row>
    <row r="8" spans="1:15">
      <c r="A8" s="11" t="s">
        <v>281</v>
      </c>
      <c r="B8" s="14" t="s">
        <v>282</v>
      </c>
      <c r="C8" s="11" t="s">
        <v>275</v>
      </c>
      <c r="D8" s="11" t="s">
        <v>275</v>
      </c>
      <c r="E8" s="20"/>
      <c r="F8" s="11" t="s">
        <v>275</v>
      </c>
      <c r="G8" s="11" t="s">
        <v>275</v>
      </c>
      <c r="H8" s="20"/>
      <c r="I8" s="21">
        <v>0</v>
      </c>
      <c r="J8" s="21">
        <v>0</v>
      </c>
      <c r="K8" s="21">
        <v>0</v>
      </c>
      <c r="L8" s="21">
        <v>0</v>
      </c>
      <c r="M8" s="22"/>
      <c r="N8" s="11" t="s">
        <v>276</v>
      </c>
      <c r="O8" s="11"/>
    </row>
    <row r="9" spans="1:15">
      <c r="A9" s="11" t="s">
        <v>283</v>
      </c>
      <c r="B9" s="14" t="s">
        <v>284</v>
      </c>
      <c r="C9" s="11" t="s">
        <v>285</v>
      </c>
      <c r="D9" s="11" t="s">
        <v>275</v>
      </c>
      <c r="E9" s="20">
        <v>5</v>
      </c>
      <c r="F9" s="11" t="s">
        <v>275</v>
      </c>
      <c r="G9" s="11" t="s">
        <v>275</v>
      </c>
      <c r="H9" s="20"/>
      <c r="I9" s="21">
        <v>50</v>
      </c>
      <c r="J9" s="21">
        <v>150</v>
      </c>
      <c r="K9" s="21">
        <v>0</v>
      </c>
      <c r="L9" s="21">
        <v>5</v>
      </c>
      <c r="M9" s="22"/>
      <c r="N9" s="11" t="s">
        <v>276</v>
      </c>
      <c r="O9" s="11"/>
    </row>
    <row r="10" spans="1:15">
      <c r="A10" s="11" t="s">
        <v>286</v>
      </c>
      <c r="B10" s="14" t="s">
        <v>287</v>
      </c>
      <c r="C10" s="11" t="s">
        <v>285</v>
      </c>
      <c r="D10" s="11" t="s">
        <v>275</v>
      </c>
      <c r="E10" s="20">
        <v>5</v>
      </c>
      <c r="F10" s="11" t="s">
        <v>275</v>
      </c>
      <c r="G10" s="11" t="s">
        <v>275</v>
      </c>
      <c r="H10" s="20"/>
      <c r="I10" s="21">
        <v>50</v>
      </c>
      <c r="J10" s="21">
        <v>150</v>
      </c>
      <c r="K10" s="21">
        <v>0</v>
      </c>
      <c r="L10" s="21">
        <v>5</v>
      </c>
      <c r="M10" s="22"/>
      <c r="N10" s="11" t="s">
        <v>167</v>
      </c>
      <c r="O10" s="11"/>
    </row>
    <row r="11" spans="1:15">
      <c r="A11" s="11" t="s">
        <v>288</v>
      </c>
      <c r="B11" s="14" t="s">
        <v>289</v>
      </c>
      <c r="C11" s="11" t="s">
        <v>285</v>
      </c>
      <c r="D11" s="11" t="s">
        <v>275</v>
      </c>
      <c r="E11" s="20">
        <v>1</v>
      </c>
      <c r="F11" s="11" t="s">
        <v>275</v>
      </c>
      <c r="G11" s="11" t="s">
        <v>275</v>
      </c>
      <c r="H11" s="20"/>
      <c r="I11" s="21">
        <v>-1300000000</v>
      </c>
      <c r="J11" s="21">
        <v>0</v>
      </c>
      <c r="K11" s="21">
        <v>0</v>
      </c>
      <c r="L11" s="21">
        <v>0</v>
      </c>
      <c r="M11" s="22"/>
      <c r="N11" s="11" t="s">
        <v>276</v>
      </c>
      <c r="O11" s="11"/>
    </row>
    <row r="12" spans="1:15">
      <c r="A12" s="11" t="s">
        <v>290</v>
      </c>
      <c r="B12" s="14" t="s">
        <v>291</v>
      </c>
      <c r="C12" s="11" t="s">
        <v>285</v>
      </c>
      <c r="D12" s="11" t="s">
        <v>275</v>
      </c>
      <c r="E12" s="20">
        <v>1</v>
      </c>
      <c r="F12" s="11" t="s">
        <v>275</v>
      </c>
      <c r="G12" s="11" t="s">
        <v>275</v>
      </c>
      <c r="H12" s="20"/>
      <c r="I12" s="21">
        <v>-1300000000</v>
      </c>
      <c r="J12" s="21">
        <v>0</v>
      </c>
      <c r="K12" s="21">
        <v>0</v>
      </c>
      <c r="L12" s="21">
        <v>0</v>
      </c>
      <c r="M12" s="22"/>
      <c r="N12" s="11" t="s">
        <v>167</v>
      </c>
      <c r="O12" s="11"/>
    </row>
    <row r="13" spans="1:15">
      <c r="A13" s="11" t="s">
        <v>292</v>
      </c>
      <c r="B13" s="14" t="s">
        <v>293</v>
      </c>
      <c r="C13" s="11" t="s">
        <v>275</v>
      </c>
      <c r="D13" s="11" t="s">
        <v>275</v>
      </c>
      <c r="E13" s="20"/>
      <c r="F13" s="11" t="s">
        <v>275</v>
      </c>
      <c r="G13" s="11" t="s">
        <v>275</v>
      </c>
      <c r="H13" s="20"/>
      <c r="I13" s="21">
        <v>0</v>
      </c>
      <c r="J13" s="21">
        <v>0</v>
      </c>
      <c r="K13" s="21">
        <v>0</v>
      </c>
      <c r="L13" s="21">
        <v>0</v>
      </c>
      <c r="M13" s="22"/>
      <c r="N13" s="11" t="s">
        <v>167</v>
      </c>
      <c r="O13" s="11"/>
    </row>
    <row r="14" spans="1:15">
      <c r="A14" s="11" t="s">
        <v>294</v>
      </c>
      <c r="B14" s="14" t="s">
        <v>295</v>
      </c>
      <c r="C14" s="11" t="s">
        <v>275</v>
      </c>
      <c r="D14" s="11" t="s">
        <v>275</v>
      </c>
      <c r="E14" s="20"/>
      <c r="F14" s="11" t="s">
        <v>275</v>
      </c>
      <c r="G14" s="11" t="s">
        <v>275</v>
      </c>
      <c r="H14" s="20"/>
      <c r="I14" s="21">
        <v>0</v>
      </c>
      <c r="J14" s="21">
        <v>0</v>
      </c>
      <c r="K14" s="21">
        <v>0</v>
      </c>
      <c r="L14" s="21">
        <v>0</v>
      </c>
      <c r="M14" s="22"/>
      <c r="N14" s="11" t="s">
        <v>167</v>
      </c>
      <c r="O14" s="11"/>
    </row>
    <row r="15" spans="1:15">
      <c r="A15" s="11" t="s">
        <v>296</v>
      </c>
      <c r="B15" s="14" t="s">
        <v>297</v>
      </c>
      <c r="C15" s="11" t="s">
        <v>275</v>
      </c>
      <c r="D15" s="11" t="s">
        <v>275</v>
      </c>
      <c r="E15" s="20"/>
      <c r="F15" s="11" t="s">
        <v>275</v>
      </c>
      <c r="G15" s="11" t="s">
        <v>275</v>
      </c>
      <c r="H15" s="20"/>
      <c r="I15" s="21">
        <v>0</v>
      </c>
      <c r="J15" s="21">
        <v>0</v>
      </c>
      <c r="K15" s="21">
        <v>0</v>
      </c>
      <c r="L15" s="21">
        <v>0</v>
      </c>
      <c r="M15" s="22"/>
      <c r="N15" s="11" t="s">
        <v>276</v>
      </c>
      <c r="O15" s="11"/>
    </row>
    <row r="16" spans="1:15">
      <c r="A16" s="11" t="s">
        <v>298</v>
      </c>
      <c r="B16" s="14" t="s">
        <v>299</v>
      </c>
      <c r="C16" s="11" t="s">
        <v>275</v>
      </c>
      <c r="D16" s="11" t="s">
        <v>275</v>
      </c>
      <c r="E16" s="20"/>
      <c r="F16" s="11" t="s">
        <v>275</v>
      </c>
      <c r="G16" s="11" t="s">
        <v>275</v>
      </c>
      <c r="H16" s="20"/>
      <c r="I16" s="21">
        <v>0</v>
      </c>
      <c r="J16" s="21">
        <v>0</v>
      </c>
      <c r="K16" s="21">
        <v>0</v>
      </c>
      <c r="L16" s="21">
        <v>0</v>
      </c>
      <c r="M16" s="22"/>
      <c r="N16" s="11" t="s">
        <v>167</v>
      </c>
      <c r="O16" s="11"/>
    </row>
    <row r="17" spans="1:15">
      <c r="A17" s="11" t="s">
        <v>300</v>
      </c>
      <c r="B17" s="14" t="s">
        <v>301</v>
      </c>
      <c r="C17" s="11" t="s">
        <v>275</v>
      </c>
      <c r="D17" s="11" t="s">
        <v>275</v>
      </c>
      <c r="E17" s="20"/>
      <c r="F17" s="11" t="s">
        <v>275</v>
      </c>
      <c r="G17" s="11" t="s">
        <v>275</v>
      </c>
      <c r="H17" s="20"/>
      <c r="I17" s="21">
        <v>0</v>
      </c>
      <c r="J17" s="21">
        <v>0</v>
      </c>
      <c r="K17" s="21">
        <v>0</v>
      </c>
      <c r="L17" s="21">
        <v>0</v>
      </c>
      <c r="M17" s="22"/>
      <c r="N17" s="11" t="s">
        <v>167</v>
      </c>
      <c r="O17" s="11"/>
    </row>
    <row r="18" spans="1:15">
      <c r="A18" s="11" t="s">
        <v>302</v>
      </c>
      <c r="B18" s="14" t="s">
        <v>303</v>
      </c>
      <c r="C18" s="11" t="s">
        <v>275</v>
      </c>
      <c r="D18" s="11" t="s">
        <v>275</v>
      </c>
      <c r="E18" s="20"/>
      <c r="F18" s="11" t="s">
        <v>275</v>
      </c>
      <c r="G18" s="11" t="s">
        <v>275</v>
      </c>
      <c r="H18" s="20"/>
      <c r="I18" s="21">
        <v>0</v>
      </c>
      <c r="J18" s="21">
        <v>0</v>
      </c>
      <c r="K18" s="21">
        <v>0</v>
      </c>
      <c r="L18" s="21">
        <v>0</v>
      </c>
      <c r="M18" s="22"/>
      <c r="N18" s="11" t="s">
        <v>167</v>
      </c>
      <c r="O18" s="11"/>
    </row>
    <row r="19" spans="1:15">
      <c r="A19" s="11" t="s">
        <v>304</v>
      </c>
      <c r="B19" s="14" t="s">
        <v>305</v>
      </c>
      <c r="C19" s="11" t="s">
        <v>275</v>
      </c>
      <c r="D19" s="11" t="s">
        <v>275</v>
      </c>
      <c r="E19" s="20"/>
      <c r="F19" s="11" t="s">
        <v>275</v>
      </c>
      <c r="G19" s="11" t="s">
        <v>275</v>
      </c>
      <c r="H19" s="20"/>
      <c r="I19" s="21">
        <v>0</v>
      </c>
      <c r="J19" s="21">
        <v>0</v>
      </c>
      <c r="K19" s="21">
        <v>0</v>
      </c>
      <c r="L19" s="21">
        <v>0</v>
      </c>
      <c r="M19" s="22"/>
      <c r="N19" s="11"/>
      <c r="O19" s="11"/>
    </row>
    <row r="20" spans="1:15">
      <c r="A20" s="11" t="s">
        <v>306</v>
      </c>
      <c r="B20" s="14" t="s">
        <v>307</v>
      </c>
      <c r="C20" s="11" t="s">
        <v>285</v>
      </c>
      <c r="D20" s="11" t="s">
        <v>275</v>
      </c>
      <c r="E20" s="20">
        <v>1</v>
      </c>
      <c r="F20" s="11" t="s">
        <v>275</v>
      </c>
      <c r="G20" s="11" t="s">
        <v>275</v>
      </c>
      <c r="H20" s="20"/>
      <c r="I20" s="21">
        <v>1500000</v>
      </c>
      <c r="J20" s="21">
        <v>2000000</v>
      </c>
      <c r="K20" s="21">
        <v>0</v>
      </c>
      <c r="L20" s="21">
        <v>250000</v>
      </c>
      <c r="M20" s="22"/>
      <c r="N20" s="11"/>
      <c r="O20" s="11"/>
    </row>
    <row r="21" spans="1:15">
      <c r="A21" s="11" t="inlineStr">
        <is>
          <t>DEMO-REJECTED</t>
        </is>
      </c>
      <c r="B21" s="14" t="inlineStr">
        <is>
          <t>Deliberately rejected trades (demo): OT-X is other risks under BCBS, A11 has matured</t>
        </is>
      </c>
      <c r="C21" s="11" t="inlineStr">
        <is>
          <t>N</t>
        </is>
      </c>
      <c r="D21" s="11" t="inlineStr">
        <is>
          <t>N</t>
        </is>
      </c>
      <c r="E21" s="20"/>
      <c r="F21" s="11" t="inlineStr">
        <is>
          <t>N</t>
        </is>
      </c>
      <c r="G21" s="11" t="inlineStr">
        <is>
          <t>N</t>
        </is>
      </c>
      <c r="H21" s="20"/>
      <c r="I21" s="21">
        <v>0</v>
      </c>
      <c r="J21" s="21">
        <v>0</v>
      </c>
      <c r="K21" s="21">
        <v>0</v>
      </c>
      <c r="L21" s="21">
        <v>0</v>
      </c>
      <c r="M21" s="22"/>
      <c r="N21" s="11" t="inlineStr">
        <is>
          <t>BCBS</t>
        </is>
      </c>
      <c r="O21" s="11"/>
    </row>
    <row r="22" spans="1:15">
      <c r="A22" s="11"/>
      <c r="B22" s="14"/>
      <c r="C22" s="11"/>
      <c r="D22" s="11"/>
      <c r="E22" s="20"/>
      <c r="F22" s="11"/>
      <c r="G22" s="11"/>
      <c r="H22" s="20"/>
      <c r="I22" s="21"/>
      <c r="J22" s="21"/>
      <c r="K22" s="21"/>
      <c r="L22" s="21"/>
      <c r="M22" s="22"/>
      <c r="N22" s="11"/>
      <c r="O22" s="11"/>
    </row>
    <row r="23" spans="1:15">
      <c r="A23" s="11"/>
      <c r="B23" s="14"/>
      <c r="C23" s="11"/>
      <c r="D23" s="11"/>
      <c r="E23" s="20"/>
      <c r="F23" s="11"/>
      <c r="G23" s="11"/>
      <c r="H23" s="20"/>
      <c r="I23" s="21"/>
      <c r="J23" s="21"/>
      <c r="K23" s="21"/>
      <c r="L23" s="21"/>
      <c r="M23" s="22"/>
      <c r="N23" s="11"/>
      <c r="O23" s="11"/>
    </row>
    <row r="24" spans="1:15">
      <c r="A24" s="11"/>
      <c r="B24" s="14"/>
      <c r="C24" s="11"/>
      <c r="D24" s="11"/>
      <c r="E24" s="20"/>
      <c r="F24" s="11"/>
      <c r="G24" s="11"/>
      <c r="H24" s="20"/>
      <c r="I24" s="21"/>
      <c r="J24" s="21"/>
      <c r="K24" s="21"/>
      <c r="L24" s="21"/>
      <c r="M24" s="22"/>
      <c r="N24" s="11"/>
      <c r="O24" s="11"/>
    </row>
    <row r="25" spans="1:15">
      <c r="A25" s="11"/>
      <c r="B25" s="14"/>
      <c r="C25" s="11"/>
      <c r="D25" s="11"/>
      <c r="E25" s="20"/>
      <c r="F25" s="11"/>
      <c r="G25" s="11"/>
      <c r="H25" s="20"/>
      <c r="I25" s="21"/>
      <c r="J25" s="21"/>
      <c r="K25" s="21"/>
      <c r="L25" s="21"/>
      <c r="M25" s="22"/>
      <c r="N25" s="11"/>
      <c r="O25" s="11"/>
    </row>
    <row r="26" spans="1:15">
      <c r="A26" s="11"/>
      <c r="B26" s="14"/>
      <c r="C26" s="11"/>
      <c r="D26" s="11"/>
      <c r="E26" s="20"/>
      <c r="F26" s="11"/>
      <c r="G26" s="11"/>
      <c r="H26" s="20"/>
      <c r="I26" s="21"/>
      <c r="J26" s="21"/>
      <c r="K26" s="21"/>
      <c r="L26" s="21"/>
      <c r="M26" s="22"/>
      <c r="N26" s="11"/>
      <c r="O26" s="11"/>
    </row>
    <row r="27" spans="1:15">
      <c r="A27" s="11"/>
      <c r="B27" s="14"/>
      <c r="C27" s="11"/>
      <c r="D27" s="11"/>
      <c r="E27" s="20"/>
      <c r="F27" s="11"/>
      <c r="G27" s="11"/>
      <c r="H27" s="20"/>
      <c r="I27" s="21"/>
      <c r="J27" s="21"/>
      <c r="K27" s="21"/>
      <c r="L27" s="21"/>
      <c r="M27" s="22"/>
      <c r="N27" s="11"/>
      <c r="O27" s="11"/>
    </row>
    <row r="28" spans="1:15">
      <c r="A28" s="11"/>
      <c r="B28" s="14"/>
      <c r="C28" s="11"/>
      <c r="D28" s="11"/>
      <c r="E28" s="20"/>
      <c r="F28" s="11"/>
      <c r="G28" s="11"/>
      <c r="H28" s="20"/>
      <c r="I28" s="21"/>
      <c r="J28" s="21"/>
      <c r="K28" s="21"/>
      <c r="L28" s="21"/>
      <c r="M28" s="22"/>
      <c r="N28" s="11"/>
      <c r="O28" s="11"/>
    </row>
    <row r="29" spans="1:15">
      <c r="A29" s="11"/>
      <c r="B29" s="14"/>
      <c r="C29" s="11"/>
      <c r="D29" s="11"/>
      <c r="E29" s="20"/>
      <c r="F29" s="11"/>
      <c r="G29" s="11"/>
      <c r="H29" s="20"/>
      <c r="I29" s="21"/>
      <c r="J29" s="21"/>
      <c r="K29" s="21"/>
      <c r="L29" s="21"/>
      <c r="M29" s="22"/>
      <c r="N29" s="11"/>
      <c r="O29" s="11"/>
    </row>
    <row r="30" spans="1:15">
      <c r="A30" s="11"/>
      <c r="B30" s="14"/>
      <c r="C30" s="11"/>
      <c r="D30" s="11"/>
      <c r="E30" s="20"/>
      <c r="F30" s="11"/>
      <c r="G30" s="11"/>
      <c r="H30" s="20"/>
      <c r="I30" s="21"/>
      <c r="J30" s="21"/>
      <c r="K30" s="21"/>
      <c r="L30" s="21"/>
      <c r="M30" s="22"/>
      <c r="N30" s="11"/>
      <c r="O30" s="11"/>
    </row>
    <row r="31" spans="1:15">
      <c r="A31" s="11"/>
      <c r="B31" s="14"/>
      <c r="C31" s="11"/>
      <c r="D31" s="11"/>
      <c r="E31" s="20"/>
      <c r="F31" s="11"/>
      <c r="G31" s="11"/>
      <c r="H31" s="20"/>
      <c r="I31" s="21"/>
      <c r="J31" s="21"/>
      <c r="K31" s="21"/>
      <c r="L31" s="21"/>
      <c r="M31" s="22"/>
      <c r="N31" s="11"/>
      <c r="O31" s="11"/>
    </row>
    <row r="32" spans="1:15">
      <c r="A32" s="11"/>
      <c r="B32" s="14"/>
      <c r="C32" s="11"/>
      <c r="D32" s="11"/>
      <c r="E32" s="20"/>
      <c r="F32" s="11"/>
      <c r="G32" s="11"/>
      <c r="H32" s="20"/>
      <c r="I32" s="21"/>
      <c r="J32" s="21"/>
      <c r="K32" s="21"/>
      <c r="L32" s="21"/>
      <c r="M32" s="22"/>
      <c r="N32" s="11"/>
      <c r="O32" s="11"/>
    </row>
    <row r="33" spans="1:15">
      <c r="A33" s="11"/>
      <c r="B33" s="14"/>
      <c r="C33" s="11"/>
      <c r="D33" s="11"/>
      <c r="E33" s="20"/>
      <c r="F33" s="11"/>
      <c r="G33" s="11"/>
      <c r="H33" s="20"/>
      <c r="I33" s="21"/>
      <c r="J33" s="21"/>
      <c r="K33" s="21"/>
      <c r="L33" s="21"/>
      <c r="M33" s="22"/>
      <c r="N33" s="11"/>
      <c r="O33" s="11"/>
    </row>
    <row r="34" spans="1:15">
      <c r="A34" s="11"/>
      <c r="B34" s="14"/>
      <c r="C34" s="11"/>
      <c r="D34" s="11"/>
      <c r="E34" s="20"/>
      <c r="F34" s="11"/>
      <c r="G34" s="11"/>
      <c r="H34" s="20"/>
      <c r="I34" s="21"/>
      <c r="J34" s="21"/>
      <c r="K34" s="21"/>
      <c r="L34" s="21"/>
      <c r="M34" s="22"/>
      <c r="N34" s="11"/>
      <c r="O34" s="11"/>
    </row>
    <row r="35" spans="1:15">
      <c r="A35" s="11"/>
      <c r="B35" s="14"/>
      <c r="C35" s="11"/>
      <c r="D35" s="11"/>
      <c r="E35" s="20"/>
      <c r="F35" s="11"/>
      <c r="G35" s="11"/>
      <c r="H35" s="20"/>
      <c r="I35" s="21"/>
      <c r="J35" s="21"/>
      <c r="K35" s="21"/>
      <c r="L35" s="21"/>
      <c r="M35" s="22"/>
      <c r="N35" s="11"/>
      <c r="O35" s="11"/>
    </row>
    <row r="36" spans="1:15">
      <c r="A36" s="11"/>
      <c r="B36" s="14"/>
      <c r="C36" s="11"/>
      <c r="D36" s="11"/>
      <c r="E36" s="20"/>
      <c r="F36" s="11"/>
      <c r="G36" s="11"/>
      <c r="H36" s="20"/>
      <c r="I36" s="21"/>
      <c r="J36" s="21"/>
      <c r="K36" s="21"/>
      <c r="L36" s="21"/>
      <c r="M36" s="22"/>
      <c r="N36" s="11"/>
      <c r="O36" s="11"/>
    </row>
    <row r="37" spans="1:15">
      <c r="A37" s="11"/>
      <c r="B37" s="14"/>
      <c r="C37" s="11"/>
      <c r="D37" s="11"/>
      <c r="E37" s="20"/>
      <c r="F37" s="11"/>
      <c r="G37" s="11"/>
      <c r="H37" s="20"/>
      <c r="I37" s="21"/>
      <c r="J37" s="21"/>
      <c r="K37" s="21"/>
      <c r="L37" s="21"/>
      <c r="M37" s="22"/>
      <c r="N37" s="11"/>
      <c r="O37" s="11"/>
    </row>
    <row r="38" spans="1:15">
      <c r="A38" s="11"/>
      <c r="B38" s="14"/>
      <c r="C38" s="11"/>
      <c r="D38" s="11"/>
      <c r="E38" s="20"/>
      <c r="F38" s="11"/>
      <c r="G38" s="11"/>
      <c r="H38" s="20"/>
      <c r="I38" s="21"/>
      <c r="J38" s="21"/>
      <c r="K38" s="21"/>
      <c r="L38" s="21"/>
      <c r="M38" s="22"/>
      <c r="N38" s="11"/>
      <c r="O38" s="11"/>
    </row>
    <row r="39" spans="1:15">
      <c r="A39" s="11"/>
      <c r="B39" s="14"/>
      <c r="C39" s="11"/>
      <c r="D39" s="11"/>
      <c r="E39" s="20"/>
      <c r="F39" s="11"/>
      <c r="G39" s="11"/>
      <c r="H39" s="20"/>
      <c r="I39" s="21"/>
      <c r="J39" s="21"/>
      <c r="K39" s="21"/>
      <c r="L39" s="21"/>
      <c r="M39" s="22"/>
      <c r="N39" s="11"/>
      <c r="O39" s="11"/>
    </row>
    <row r="40" spans="1:15">
      <c r="A40" s="11"/>
      <c r="B40" s="14"/>
      <c r="C40" s="11"/>
      <c r="D40" s="11"/>
      <c r="E40" s="20"/>
      <c r="F40" s="11"/>
      <c r="G40" s="11"/>
      <c r="H40" s="20"/>
      <c r="I40" s="21"/>
      <c r="J40" s="21"/>
      <c r="K40" s="21"/>
      <c r="L40" s="21"/>
      <c r="M40" s="22"/>
      <c r="N40" s="11"/>
      <c r="O40" s="11"/>
    </row>
    <row r="41" spans="1:15">
      <c r="A41" s="11"/>
      <c r="B41" s="14"/>
      <c r="C41" s="11"/>
      <c r="D41" s="11"/>
      <c r="E41" s="20"/>
      <c r="F41" s="11"/>
      <c r="G41" s="11"/>
      <c r="H41" s="20"/>
      <c r="I41" s="21"/>
      <c r="J41" s="21"/>
      <c r="K41" s="21"/>
      <c r="L41" s="21"/>
      <c r="M41" s="22"/>
      <c r="N41" s="11"/>
      <c r="O41" s="11"/>
    </row>
    <row r="42" spans="1:15">
      <c r="A42" s="11"/>
      <c r="B42" s="14"/>
      <c r="C42" s="11"/>
      <c r="D42" s="11"/>
      <c r="E42" s="20"/>
      <c r="F42" s="11"/>
      <c r="G42" s="11"/>
      <c r="H42" s="20"/>
      <c r="I42" s="21"/>
      <c r="J42" s="21"/>
      <c r="K42" s="21"/>
      <c r="L42" s="21"/>
      <c r="M42" s="22"/>
      <c r="N42" s="11"/>
      <c r="O42" s="11"/>
    </row>
    <row r="43" spans="1:15">
      <c r="A43" s="11"/>
      <c r="B43" s="14"/>
      <c r="C43" s="11"/>
      <c r="D43" s="11"/>
      <c r="E43" s="20"/>
      <c r="F43" s="11"/>
      <c r="G43" s="11"/>
      <c r="H43" s="20"/>
      <c r="I43" s="21"/>
      <c r="J43" s="21"/>
      <c r="K43" s="21"/>
      <c r="L43" s="21"/>
      <c r="M43" s="22"/>
      <c r="N43" s="11"/>
      <c r="O43" s="11"/>
    </row>
    <row r="44" spans="1:15">
      <c r="A44" s="11"/>
      <c r="B44" s="14"/>
      <c r="C44" s="11"/>
      <c r="D44" s="11"/>
      <c r="E44" s="20"/>
      <c r="F44" s="11"/>
      <c r="G44" s="11"/>
      <c r="H44" s="20"/>
      <c r="I44" s="21"/>
      <c r="J44" s="21"/>
      <c r="K44" s="21"/>
      <c r="L44" s="21"/>
      <c r="M44" s="22"/>
      <c r="N44" s="11"/>
      <c r="O44" s="11"/>
    </row>
    <row r="45" spans="1:15">
      <c r="A45" s="11"/>
      <c r="B45" s="14"/>
      <c r="C45" s="11"/>
      <c r="D45" s="11"/>
      <c r="E45" s="20"/>
      <c r="F45" s="11"/>
      <c r="G45" s="11"/>
      <c r="H45" s="20"/>
      <c r="I45" s="21"/>
      <c r="J45" s="21"/>
      <c r="K45" s="21"/>
      <c r="L45" s="21"/>
      <c r="M45" s="22"/>
      <c r="N45" s="11"/>
      <c r="O45" s="11"/>
    </row>
    <row r="46" spans="1:15">
      <c r="A46" s="11"/>
      <c r="B46" s="14"/>
      <c r="C46" s="11"/>
      <c r="D46" s="11"/>
      <c r="E46" s="20"/>
      <c r="F46" s="11"/>
      <c r="G46" s="11"/>
      <c r="H46" s="20"/>
      <c r="I46" s="21"/>
      <c r="J46" s="21"/>
      <c r="K46" s="21"/>
      <c r="L46" s="21"/>
      <c r="M46" s="22"/>
      <c r="N46" s="11"/>
      <c r="O46" s="11"/>
    </row>
    <row r="47" spans="1:15">
      <c r="A47" s="11"/>
      <c r="B47" s="14"/>
      <c r="C47" s="11"/>
      <c r="D47" s="11"/>
      <c r="E47" s="20"/>
      <c r="F47" s="11"/>
      <c r="G47" s="11"/>
      <c r="H47" s="20"/>
      <c r="I47" s="21"/>
      <c r="J47" s="21"/>
      <c r="K47" s="21"/>
      <c r="L47" s="21"/>
      <c r="M47" s="22"/>
      <c r="N47" s="11"/>
      <c r="O47" s="11"/>
    </row>
    <row r="48" spans="1:15">
      <c r="A48" s="11"/>
      <c r="B48" s="14"/>
      <c r="C48" s="11"/>
      <c r="D48" s="11"/>
      <c r="E48" s="20"/>
      <c r="F48" s="11"/>
      <c r="G48" s="11"/>
      <c r="H48" s="20"/>
      <c r="I48" s="21"/>
      <c r="J48" s="21"/>
      <c r="K48" s="21"/>
      <c r="L48" s="21"/>
      <c r="M48" s="22"/>
      <c r="N48" s="11"/>
      <c r="O48" s="11"/>
    </row>
    <row r="49" spans="1:15">
      <c r="A49" s="11"/>
      <c r="B49" s="14"/>
      <c r="C49" s="11"/>
      <c r="D49" s="11"/>
      <c r="E49" s="20"/>
      <c r="F49" s="11"/>
      <c r="G49" s="11"/>
      <c r="H49" s="20"/>
      <c r="I49" s="21"/>
      <c r="J49" s="21"/>
      <c r="K49" s="21"/>
      <c r="L49" s="21"/>
      <c r="M49" s="22"/>
      <c r="N49" s="11"/>
      <c r="O49" s="11"/>
    </row>
    <row r="50" spans="1:15">
      <c r="A50" s="11"/>
      <c r="B50" s="14"/>
      <c r="C50" s="11"/>
      <c r="D50" s="11"/>
      <c r="E50" s="20"/>
      <c r="F50" s="11"/>
      <c r="G50" s="11"/>
      <c r="H50" s="20"/>
      <c r="I50" s="21"/>
      <c r="J50" s="21"/>
      <c r="K50" s="21"/>
      <c r="L50" s="21"/>
      <c r="M50" s="22"/>
      <c r="N50" s="11"/>
      <c r="O50" s="11"/>
    </row>
    <row r="51" spans="1:15">
      <c r="A51" s="11"/>
      <c r="B51" s="14"/>
      <c r="C51" s="11"/>
      <c r="D51" s="11"/>
      <c r="E51" s="20"/>
      <c r="F51" s="11"/>
      <c r="G51" s="11"/>
      <c r="H51" s="20"/>
      <c r="I51" s="21"/>
      <c r="J51" s="21"/>
      <c r="K51" s="21"/>
      <c r="L51" s="21"/>
      <c r="M51" s="22"/>
      <c r="N51" s="11"/>
      <c r="O51" s="11"/>
    </row>
    <row r="52" spans="1:15">
      <c r="A52" s="11"/>
      <c r="B52" s="14"/>
      <c r="C52" s="11"/>
      <c r="D52" s="11"/>
      <c r="E52" s="20"/>
      <c r="F52" s="11"/>
      <c r="G52" s="11"/>
      <c r="H52" s="20"/>
      <c r="I52" s="21"/>
      <c r="J52" s="21"/>
      <c r="K52" s="21"/>
      <c r="L52" s="21"/>
      <c r="M52" s="22"/>
      <c r="N52" s="11"/>
      <c r="O52" s="11"/>
    </row>
    <row r="53" spans="1:15">
      <c r="A53" s="11"/>
      <c r="B53" s="14"/>
      <c r="C53" s="11"/>
      <c r="D53" s="11"/>
      <c r="E53" s="20"/>
      <c r="F53" s="11"/>
      <c r="G53" s="11"/>
      <c r="H53" s="20"/>
      <c r="I53" s="21"/>
      <c r="J53" s="21"/>
      <c r="K53" s="21"/>
      <c r="L53" s="21"/>
      <c r="M53" s="22"/>
      <c r="N53" s="11"/>
      <c r="O53" s="11"/>
    </row>
    <row r="54" spans="1:15">
      <c r="A54" s="11"/>
      <c r="B54" s="14"/>
      <c r="C54" s="11"/>
      <c r="D54" s="11"/>
      <c r="E54" s="20"/>
      <c r="F54" s="11"/>
      <c r="G54" s="11"/>
      <c r="H54" s="20"/>
      <c r="I54" s="21"/>
      <c r="J54" s="21"/>
      <c r="K54" s="21"/>
      <c r="L54" s="21"/>
      <c r="M54" s="22"/>
      <c r="N54" s="11"/>
      <c r="O54" s="11"/>
    </row>
    <row r="55" spans="1:15">
      <c r="A55" s="11"/>
      <c r="B55" s="14"/>
      <c r="C55" s="11"/>
      <c r="D55" s="11"/>
      <c r="E55" s="20"/>
      <c r="F55" s="11"/>
      <c r="G55" s="11"/>
      <c r="H55" s="20"/>
      <c r="I55" s="21"/>
      <c r="J55" s="21"/>
      <c r="K55" s="21"/>
      <c r="L55" s="21"/>
      <c r="M55" s="22"/>
      <c r="N55" s="11"/>
      <c r="O55" s="11"/>
    </row>
    <row r="56" spans="1:15">
      <c r="A56" s="11"/>
      <c r="B56" s="14"/>
      <c r="C56" s="11"/>
      <c r="D56" s="11"/>
      <c r="E56" s="20"/>
      <c r="F56" s="11"/>
      <c r="G56" s="11"/>
      <c r="H56" s="20"/>
      <c r="I56" s="21"/>
      <c r="J56" s="21"/>
      <c r="K56" s="21"/>
      <c r="L56" s="21"/>
      <c r="M56" s="22"/>
      <c r="N56" s="11"/>
      <c r="O56" s="11"/>
    </row>
    <row r="57" spans="1:15">
      <c r="A57" s="11"/>
      <c r="B57" s="14"/>
      <c r="C57" s="11"/>
      <c r="D57" s="11"/>
      <c r="E57" s="20"/>
      <c r="F57" s="11"/>
      <c r="G57" s="11"/>
      <c r="H57" s="20"/>
      <c r="I57" s="21"/>
      <c r="J57" s="21"/>
      <c r="K57" s="21"/>
      <c r="L57" s="21"/>
      <c r="M57" s="22"/>
      <c r="N57" s="11"/>
      <c r="O57" s="11"/>
    </row>
    <row r="58" spans="1:15">
      <c r="A58" s="11"/>
      <c r="B58" s="14"/>
      <c r="C58" s="11"/>
      <c r="D58" s="11"/>
      <c r="E58" s="20"/>
      <c r="F58" s="11"/>
      <c r="G58" s="11"/>
      <c r="H58" s="20"/>
      <c r="I58" s="21"/>
      <c r="J58" s="21"/>
      <c r="K58" s="21"/>
      <c r="L58" s="21"/>
      <c r="M58" s="22"/>
      <c r="N58" s="11"/>
      <c r="O58" s="11"/>
    </row>
    <row r="59" spans="1:15">
      <c r="A59" s="11"/>
      <c r="B59" s="14"/>
      <c r="C59" s="11"/>
      <c r="D59" s="11"/>
      <c r="E59" s="20"/>
      <c r="F59" s="11"/>
      <c r="G59" s="11"/>
      <c r="H59" s="20"/>
      <c r="I59" s="21"/>
      <c r="J59" s="21"/>
      <c r="K59" s="21"/>
      <c r="L59" s="21"/>
      <c r="M59" s="22"/>
      <c r="N59" s="11"/>
      <c r="O59" s="11"/>
    </row>
    <row r="60" spans="1:15">
      <c r="A60" s="11"/>
      <c r="B60" s="14"/>
      <c r="C60" s="11"/>
      <c r="D60" s="11"/>
      <c r="E60" s="20"/>
      <c r="F60" s="11"/>
      <c r="G60" s="11"/>
      <c r="H60" s="20"/>
      <c r="I60" s="21"/>
      <c r="J60" s="21"/>
      <c r="K60" s="21"/>
      <c r="L60" s="21"/>
      <c r="M60" s="22"/>
      <c r="N60" s="11"/>
      <c r="O60" s="11"/>
    </row>
    <row r="61" spans="1:15">
      <c r="A61" s="11"/>
      <c r="B61" s="14"/>
      <c r="C61" s="11"/>
      <c r="D61" s="11"/>
      <c r="E61" s="20"/>
      <c r="F61" s="11"/>
      <c r="G61" s="11"/>
      <c r="H61" s="20"/>
      <c r="I61" s="21"/>
      <c r="J61" s="21"/>
      <c r="K61" s="21"/>
      <c r="L61" s="21"/>
      <c r="M61" s="22"/>
      <c r="N61" s="11"/>
      <c r="O61" s="11"/>
    </row>
    <row r="62" spans="1:15">
      <c r="A62" s="11"/>
      <c r="B62" s="14"/>
      <c r="C62" s="11"/>
      <c r="D62" s="11"/>
      <c r="E62" s="20"/>
      <c r="F62" s="11"/>
      <c r="G62" s="11"/>
      <c r="H62" s="20"/>
      <c r="I62" s="21"/>
      <c r="J62" s="21"/>
      <c r="K62" s="21"/>
      <c r="L62" s="21"/>
      <c r="M62" s="22"/>
      <c r="N62" s="11"/>
      <c r="O62" s="11"/>
    </row>
    <row r="63" spans="1:15">
      <c r="A63" s="11"/>
      <c r="B63" s="14"/>
      <c r="C63" s="11"/>
      <c r="D63" s="11"/>
      <c r="E63" s="20"/>
      <c r="F63" s="11"/>
      <c r="G63" s="11"/>
      <c r="H63" s="20"/>
      <c r="I63" s="21"/>
      <c r="J63" s="21"/>
      <c r="K63" s="21"/>
      <c r="L63" s="21"/>
      <c r="M63" s="22"/>
      <c r="N63" s="11"/>
      <c r="O63" s="11"/>
    </row>
    <row r="64" spans="1:15">
      <c r="A64" s="11"/>
      <c r="B64" s="14"/>
      <c r="C64" s="11"/>
      <c r="D64" s="11"/>
      <c r="E64" s="20"/>
      <c r="F64" s="11"/>
      <c r="G64" s="11"/>
      <c r="H64" s="20"/>
      <c r="I64" s="21"/>
      <c r="J64" s="21"/>
      <c r="K64" s="21"/>
      <c r="L64" s="21"/>
      <c r="M64" s="22"/>
      <c r="N64" s="11"/>
      <c r="O64" s="11"/>
    </row>
    <row r="65" spans="1:15">
      <c r="A65" s="11"/>
      <c r="B65" s="14"/>
      <c r="C65" s="11"/>
      <c r="D65" s="11"/>
      <c r="E65" s="20"/>
      <c r="F65" s="11"/>
      <c r="G65" s="11"/>
      <c r="H65" s="20"/>
      <c r="I65" s="21"/>
      <c r="J65" s="21"/>
      <c r="K65" s="21"/>
      <c r="L65" s="21"/>
      <c r="M65" s="22"/>
      <c r="N65" s="11"/>
      <c r="O65" s="11"/>
    </row>
    <row r="66" spans="1:15">
      <c r="A66" s="11"/>
      <c r="B66" s="14"/>
      <c r="C66" s="11"/>
      <c r="D66" s="11"/>
      <c r="E66" s="20"/>
      <c r="F66" s="11"/>
      <c r="G66" s="11"/>
      <c r="H66" s="20"/>
      <c r="I66" s="21"/>
      <c r="J66" s="21"/>
      <c r="K66" s="21"/>
      <c r="L66" s="21"/>
      <c r="M66" s="22"/>
      <c r="N66" s="11"/>
      <c r="O66" s="11"/>
    </row>
    <row r="67" spans="1:15">
      <c r="A67" s="11"/>
      <c r="B67" s="14"/>
      <c r="C67" s="11"/>
      <c r="D67" s="11"/>
      <c r="E67" s="20"/>
      <c r="F67" s="11"/>
      <c r="G67" s="11"/>
      <c r="H67" s="20"/>
      <c r="I67" s="21"/>
      <c r="J67" s="21"/>
      <c r="K67" s="21"/>
      <c r="L67" s="21"/>
      <c r="M67" s="22"/>
      <c r="N67" s="11"/>
      <c r="O67" s="11"/>
    </row>
    <row r="68" spans="1:15">
      <c r="A68" s="11"/>
      <c r="B68" s="14"/>
      <c r="C68" s="11"/>
      <c r="D68" s="11"/>
      <c r="E68" s="20"/>
      <c r="F68" s="11"/>
      <c r="G68" s="11"/>
      <c r="H68" s="20"/>
      <c r="I68" s="21"/>
      <c r="J68" s="21"/>
      <c r="K68" s="21"/>
      <c r="L68" s="21"/>
      <c r="M68" s="22"/>
      <c r="N68" s="11"/>
      <c r="O68" s="11"/>
    </row>
    <row r="69" spans="1:15">
      <c r="A69" s="11"/>
      <c r="B69" s="14"/>
      <c r="C69" s="11"/>
      <c r="D69" s="11"/>
      <c r="E69" s="20"/>
      <c r="F69" s="11"/>
      <c r="G69" s="11"/>
      <c r="H69" s="20"/>
      <c r="I69" s="21"/>
      <c r="J69" s="21"/>
      <c r="K69" s="21"/>
      <c r="L69" s="21"/>
      <c r="M69" s="22"/>
      <c r="N69" s="11"/>
      <c r="O69" s="11"/>
    </row>
    <row r="70" spans="1:15">
      <c r="A70" s="11"/>
      <c r="B70" s="14"/>
      <c r="C70" s="11"/>
      <c r="D70" s="11"/>
      <c r="E70" s="20"/>
      <c r="F70" s="11"/>
      <c r="G70" s="11"/>
      <c r="H70" s="20"/>
      <c r="I70" s="21"/>
      <c r="J70" s="21"/>
      <c r="K70" s="21"/>
      <c r="L70" s="21"/>
      <c r="M70" s="22"/>
      <c r="N70" s="11"/>
      <c r="O70" s="11"/>
    </row>
    <row r="71" spans="1:15">
      <c r="A71" s="11"/>
      <c r="B71" s="14"/>
      <c r="C71" s="11"/>
      <c r="D71" s="11"/>
      <c r="E71" s="20"/>
      <c r="F71" s="11"/>
      <c r="G71" s="11"/>
      <c r="H71" s="20"/>
      <c r="I71" s="21"/>
      <c r="J71" s="21"/>
      <c r="K71" s="21"/>
      <c r="L71" s="21"/>
      <c r="M71" s="22"/>
      <c r="N71" s="11"/>
      <c r="O71" s="11"/>
    </row>
    <row r="72" spans="1:15">
      <c r="A72" s="11"/>
      <c r="B72" s="14"/>
      <c r="C72" s="11"/>
      <c r="D72" s="11"/>
      <c r="E72" s="20"/>
      <c r="F72" s="11"/>
      <c r="G72" s="11"/>
      <c r="H72" s="20"/>
      <c r="I72" s="21"/>
      <c r="J72" s="21"/>
      <c r="K72" s="21"/>
      <c r="L72" s="21"/>
      <c r="M72" s="22"/>
      <c r="N72" s="11"/>
      <c r="O72" s="11"/>
    </row>
    <row r="73" spans="1:15">
      <c r="A73" s="11"/>
      <c r="B73" s="14"/>
      <c r="C73" s="11"/>
      <c r="D73" s="11"/>
      <c r="E73" s="20"/>
      <c r="F73" s="11"/>
      <c r="G73" s="11"/>
      <c r="H73" s="20"/>
      <c r="I73" s="21"/>
      <c r="J73" s="21"/>
      <c r="K73" s="21"/>
      <c r="L73" s="21"/>
      <c r="M73" s="22"/>
      <c r="N73" s="11"/>
      <c r="O73" s="11"/>
    </row>
    <row r="74" spans="1:15">
      <c r="A74" s="11"/>
      <c r="B74" s="14"/>
      <c r="C74" s="11"/>
      <c r="D74" s="11"/>
      <c r="E74" s="20"/>
      <c r="F74" s="11"/>
      <c r="G74" s="11"/>
      <c r="H74" s="20"/>
      <c r="I74" s="21"/>
      <c r="J74" s="21"/>
      <c r="K74" s="21"/>
      <c r="L74" s="21"/>
      <c r="M74" s="22"/>
      <c r="N74" s="11"/>
      <c r="O74" s="11"/>
    </row>
    <row r="75" spans="1:15">
      <c r="A75" s="11"/>
      <c r="B75" s="14"/>
      <c r="C75" s="11"/>
      <c r="D75" s="11"/>
      <c r="E75" s="20"/>
      <c r="F75" s="11"/>
      <c r="G75" s="11"/>
      <c r="H75" s="20"/>
      <c r="I75" s="21"/>
      <c r="J75" s="21"/>
      <c r="K75" s="21"/>
      <c r="L75" s="21"/>
      <c r="M75" s="22"/>
      <c r="N75" s="11"/>
      <c r="O75" s="11"/>
    </row>
    <row r="76" spans="1:15">
      <c r="A76" s="11"/>
      <c r="B76" s="14"/>
      <c r="C76" s="11"/>
      <c r="D76" s="11"/>
      <c r="E76" s="20"/>
      <c r="F76" s="11"/>
      <c r="G76" s="11"/>
      <c r="H76" s="20"/>
      <c r="I76" s="21"/>
      <c r="J76" s="21"/>
      <c r="K76" s="21"/>
      <c r="L76" s="21"/>
      <c r="M76" s="22"/>
      <c r="N76" s="11"/>
      <c r="O76" s="11"/>
    </row>
    <row r="77" spans="1:15">
      <c r="A77" s="11"/>
      <c r="B77" s="14"/>
      <c r="C77" s="11"/>
      <c r="D77" s="11"/>
      <c r="E77" s="20"/>
      <c r="F77" s="11"/>
      <c r="G77" s="11"/>
      <c r="H77" s="20"/>
      <c r="I77" s="21"/>
      <c r="J77" s="21"/>
      <c r="K77" s="21"/>
      <c r="L77" s="21"/>
      <c r="M77" s="22"/>
      <c r="N77" s="11"/>
      <c r="O77" s="11"/>
    </row>
    <row r="78" spans="1:15">
      <c r="A78" s="11"/>
      <c r="B78" s="14"/>
      <c r="C78" s="11"/>
      <c r="D78" s="11"/>
      <c r="E78" s="20"/>
      <c r="F78" s="11"/>
      <c r="G78" s="11"/>
      <c r="H78" s="20"/>
      <c r="I78" s="21"/>
      <c r="J78" s="21"/>
      <c r="K78" s="21"/>
      <c r="L78" s="21"/>
      <c r="M78" s="22"/>
      <c r="N78" s="11"/>
      <c r="O78" s="11"/>
    </row>
    <row r="79" spans="1:15">
      <c r="A79" s="11"/>
      <c r="B79" s="14"/>
      <c r="C79" s="11"/>
      <c r="D79" s="11"/>
      <c r="E79" s="20"/>
      <c r="F79" s="11"/>
      <c r="G79" s="11"/>
      <c r="H79" s="20"/>
      <c r="I79" s="21"/>
      <c r="J79" s="21"/>
      <c r="K79" s="21"/>
      <c r="L79" s="21"/>
      <c r="M79" s="22"/>
      <c r="N79" s="11"/>
      <c r="O79" s="11"/>
    </row>
    <row r="80" spans="1:15">
      <c r="A80" s="11"/>
      <c r="B80" s="14"/>
      <c r="C80" s="11"/>
      <c r="D80" s="11"/>
      <c r="E80" s="20"/>
      <c r="F80" s="11"/>
      <c r="G80" s="11"/>
      <c r="H80" s="20"/>
      <c r="I80" s="21"/>
      <c r="J80" s="21"/>
      <c r="K80" s="21"/>
      <c r="L80" s="21"/>
      <c r="M80" s="22"/>
      <c r="N80" s="11"/>
      <c r="O80" s="11"/>
    </row>
    <row r="81" spans="1:15">
      <c r="A81" s="11"/>
      <c r="B81" s="14"/>
      <c r="C81" s="11"/>
      <c r="D81" s="11"/>
      <c r="E81" s="20"/>
      <c r="F81" s="11"/>
      <c r="G81" s="11"/>
      <c r="H81" s="20"/>
      <c r="I81" s="21"/>
      <c r="J81" s="21"/>
      <c r="K81" s="21"/>
      <c r="L81" s="21"/>
      <c r="M81" s="22"/>
      <c r="N81" s="11"/>
      <c r="O81" s="11"/>
    </row>
    <row r="82" spans="1:15">
      <c r="A82" s="11"/>
      <c r="B82" s="14"/>
      <c r="C82" s="11"/>
      <c r="D82" s="11"/>
      <c r="E82" s="20"/>
      <c r="F82" s="11"/>
      <c r="G82" s="11"/>
      <c r="H82" s="20"/>
      <c r="I82" s="21"/>
      <c r="J82" s="21"/>
      <c r="K82" s="21"/>
      <c r="L82" s="21"/>
      <c r="M82" s="22"/>
      <c r="N82" s="11"/>
      <c r="O82" s="11"/>
    </row>
    <row r="83" spans="1:15">
      <c r="A83" s="11"/>
      <c r="B83" s="14"/>
      <c r="C83" s="11"/>
      <c r="D83" s="11"/>
      <c r="E83" s="20"/>
      <c r="F83" s="11"/>
      <c r="G83" s="11"/>
      <c r="H83" s="20"/>
      <c r="I83" s="21"/>
      <c r="J83" s="21"/>
      <c r="K83" s="21"/>
      <c r="L83" s="21"/>
      <c r="M83" s="22"/>
      <c r="N83" s="11"/>
      <c r="O83" s="11"/>
    </row>
    <row r="84" spans="1:15">
      <c r="A84" s="11"/>
      <c r="B84" s="14"/>
      <c r="C84" s="11"/>
      <c r="D84" s="11"/>
      <c r="E84" s="20"/>
      <c r="F84" s="11"/>
      <c r="G84" s="11"/>
      <c r="H84" s="20"/>
      <c r="I84" s="21"/>
      <c r="J84" s="21"/>
      <c r="K84" s="21"/>
      <c r="L84" s="21"/>
      <c r="M84" s="22"/>
      <c r="N84" s="11"/>
      <c r="O84" s="11"/>
    </row>
    <row r="85" spans="1:15">
      <c r="A85" s="11"/>
      <c r="B85" s="14"/>
      <c r="C85" s="11"/>
      <c r="D85" s="11"/>
      <c r="E85" s="20"/>
      <c r="F85" s="11"/>
      <c r="G85" s="11"/>
      <c r="H85" s="20"/>
      <c r="I85" s="21"/>
      <c r="J85" s="21"/>
      <c r="K85" s="21"/>
      <c r="L85" s="21"/>
      <c r="M85" s="22"/>
      <c r="N85" s="11"/>
      <c r="O85" s="11"/>
    </row>
    <row r="86" spans="1:15">
      <c r="A86" s="11"/>
      <c r="B86" s="14"/>
      <c r="C86" s="11"/>
      <c r="D86" s="11"/>
      <c r="E86" s="20"/>
      <c r="F86" s="11"/>
      <c r="G86" s="11"/>
      <c r="H86" s="20"/>
      <c r="I86" s="21"/>
      <c r="J86" s="21"/>
      <c r="K86" s="21"/>
      <c r="L86" s="21"/>
      <c r="M86" s="22"/>
      <c r="N86" s="11"/>
      <c r="O86" s="11"/>
    </row>
    <row r="87" spans="1:15">
      <c r="A87" s="11"/>
      <c r="B87" s="14"/>
      <c r="C87" s="11"/>
      <c r="D87" s="11"/>
      <c r="E87" s="20"/>
      <c r="F87" s="11"/>
      <c r="G87" s="11"/>
      <c r="H87" s="20"/>
      <c r="I87" s="21"/>
      <c r="J87" s="21"/>
      <c r="K87" s="21"/>
      <c r="L87" s="21"/>
      <c r="M87" s="22"/>
      <c r="N87" s="11"/>
      <c r="O87" s="11"/>
    </row>
    <row r="88" spans="1:15">
      <c r="A88" s="11"/>
      <c r="B88" s="14"/>
      <c r="C88" s="11"/>
      <c r="D88" s="11"/>
      <c r="E88" s="20"/>
      <c r="F88" s="11"/>
      <c r="G88" s="11"/>
      <c r="H88" s="20"/>
      <c r="I88" s="21"/>
      <c r="J88" s="21"/>
      <c r="K88" s="21"/>
      <c r="L88" s="21"/>
      <c r="M88" s="22"/>
      <c r="N88" s="11"/>
      <c r="O88" s="11"/>
    </row>
    <row r="89" spans="1:15">
      <c r="A89" s="11"/>
      <c r="B89" s="14"/>
      <c r="C89" s="11"/>
      <c r="D89" s="11"/>
      <c r="E89" s="20"/>
      <c r="F89" s="11"/>
      <c r="G89" s="11"/>
      <c r="H89" s="20"/>
      <c r="I89" s="21"/>
      <c r="J89" s="21"/>
      <c r="K89" s="21"/>
      <c r="L89" s="21"/>
      <c r="M89" s="22"/>
      <c r="N89" s="11"/>
      <c r="O89" s="11"/>
    </row>
    <row r="90" spans="1:15">
      <c r="A90" s="11"/>
      <c r="B90" s="14"/>
      <c r="C90" s="11"/>
      <c r="D90" s="11"/>
      <c r="E90" s="20"/>
      <c r="F90" s="11"/>
      <c r="G90" s="11"/>
      <c r="H90" s="20"/>
      <c r="I90" s="21"/>
      <c r="J90" s="21"/>
      <c r="K90" s="21"/>
      <c r="L90" s="21"/>
      <c r="M90" s="22"/>
      <c r="N90" s="11"/>
      <c r="O90" s="11"/>
    </row>
    <row r="91" spans="1:15">
      <c r="A91" s="11"/>
      <c r="B91" s="14"/>
      <c r="C91" s="11"/>
      <c r="D91" s="11"/>
      <c r="E91" s="20"/>
      <c r="F91" s="11"/>
      <c r="G91" s="11"/>
      <c r="H91" s="20"/>
      <c r="I91" s="21"/>
      <c r="J91" s="21"/>
      <c r="K91" s="21"/>
      <c r="L91" s="21"/>
      <c r="M91" s="22"/>
      <c r="N91" s="11"/>
      <c r="O91" s="11"/>
    </row>
    <row r="92" spans="1:15">
      <c r="A92" s="11"/>
      <c r="B92" s="14"/>
      <c r="C92" s="11"/>
      <c r="D92" s="11"/>
      <c r="E92" s="20"/>
      <c r="F92" s="11"/>
      <c r="G92" s="11"/>
      <c r="H92" s="20"/>
      <c r="I92" s="21"/>
      <c r="J92" s="21"/>
      <c r="K92" s="21"/>
      <c r="L92" s="21"/>
      <c r="M92" s="22"/>
      <c r="N92" s="11"/>
      <c r="O92" s="11"/>
    </row>
    <row r="93" spans="1:15">
      <c r="A93" s="11"/>
      <c r="B93" s="14"/>
      <c r="C93" s="11"/>
      <c r="D93" s="11"/>
      <c r="E93" s="20"/>
      <c r="F93" s="11"/>
      <c r="G93" s="11"/>
      <c r="H93" s="20"/>
      <c r="I93" s="21"/>
      <c r="J93" s="21"/>
      <c r="K93" s="21"/>
      <c r="L93" s="21"/>
      <c r="M93" s="22"/>
      <c r="N93" s="11"/>
      <c r="O93" s="11"/>
    </row>
    <row r="94" spans="1:15">
      <c r="A94" s="11"/>
      <c r="B94" s="14"/>
      <c r="C94" s="11"/>
      <c r="D94" s="11"/>
      <c r="E94" s="20"/>
      <c r="F94" s="11"/>
      <c r="G94" s="11"/>
      <c r="H94" s="20"/>
      <c r="I94" s="21"/>
      <c r="J94" s="21"/>
      <c r="K94" s="21"/>
      <c r="L94" s="21"/>
      <c r="M94" s="22"/>
      <c r="N94" s="11"/>
      <c r="O94" s="11"/>
    </row>
    <row r="95" spans="1:15">
      <c r="A95" s="11"/>
      <c r="B95" s="14"/>
      <c r="C95" s="11"/>
      <c r="D95" s="11"/>
      <c r="E95" s="20"/>
      <c r="F95" s="11"/>
      <c r="G95" s="11"/>
      <c r="H95" s="20"/>
      <c r="I95" s="21"/>
      <c r="J95" s="21"/>
      <c r="K95" s="21"/>
      <c r="L95" s="21"/>
      <c r="M95" s="22"/>
      <c r="N95" s="11"/>
      <c r="O95" s="11"/>
    </row>
    <row r="96" spans="1:15">
      <c r="A96" s="11"/>
      <c r="B96" s="14"/>
      <c r="C96" s="11"/>
      <c r="D96" s="11"/>
      <c r="E96" s="20"/>
      <c r="F96" s="11"/>
      <c r="G96" s="11"/>
      <c r="H96" s="20"/>
      <c r="I96" s="21"/>
      <c r="J96" s="21"/>
      <c r="K96" s="21"/>
      <c r="L96" s="21"/>
      <c r="M96" s="22"/>
      <c r="N96" s="11"/>
      <c r="O96" s="11"/>
    </row>
    <row r="97" spans="1:15">
      <c r="A97" s="11"/>
      <c r="B97" s="14"/>
      <c r="C97" s="11"/>
      <c r="D97" s="11"/>
      <c r="E97" s="20"/>
      <c r="F97" s="11"/>
      <c r="G97" s="11"/>
      <c r="H97" s="20"/>
      <c r="I97" s="21"/>
      <c r="J97" s="21"/>
      <c r="K97" s="21"/>
      <c r="L97" s="21"/>
      <c r="M97" s="22"/>
      <c r="N97" s="11"/>
      <c r="O97" s="11"/>
    </row>
    <row r="98" spans="1:15">
      <c r="A98" s="11"/>
      <c r="B98" s="14"/>
      <c r="C98" s="11"/>
      <c r="D98" s="11"/>
      <c r="E98" s="20"/>
      <c r="F98" s="11"/>
      <c r="G98" s="11"/>
      <c r="H98" s="20"/>
      <c r="I98" s="21"/>
      <c r="J98" s="21"/>
      <c r="K98" s="21"/>
      <c r="L98" s="21"/>
      <c r="M98" s="22"/>
      <c r="N98" s="11"/>
      <c r="O98" s="11"/>
    </row>
    <row r="99" spans="1:15">
      <c r="A99" s="11"/>
      <c r="B99" s="14"/>
      <c r="C99" s="11"/>
      <c r="D99" s="11"/>
      <c r="E99" s="20"/>
      <c r="F99" s="11"/>
      <c r="G99" s="11"/>
      <c r="H99" s="20"/>
      <c r="I99" s="21"/>
      <c r="J99" s="21"/>
      <c r="K99" s="21"/>
      <c r="L99" s="21"/>
      <c r="M99" s="22"/>
      <c r="N99" s="11"/>
      <c r="O99" s="11"/>
    </row>
    <row r="100" spans="1:15">
      <c r="A100" s="11"/>
      <c r="B100" s="14"/>
      <c r="C100" s="11"/>
      <c r="D100" s="11"/>
      <c r="E100" s="20"/>
      <c r="F100" s="11"/>
      <c r="G100" s="11"/>
      <c r="H100" s="20"/>
      <c r="I100" s="21"/>
      <c r="J100" s="21"/>
      <c r="K100" s="21"/>
      <c r="L100" s="21"/>
      <c r="M100" s="22"/>
      <c r="N100" s="11"/>
      <c r="O100" s="11"/>
    </row>
    <row r="101" spans="1:15">
      <c r="A101" s="11"/>
      <c r="B101" s="14"/>
      <c r="C101" s="11"/>
      <c r="D101" s="11"/>
      <c r="E101" s="20"/>
      <c r="F101" s="11"/>
      <c r="G101" s="11"/>
      <c r="H101" s="20"/>
      <c r="I101" s="21"/>
      <c r="J101" s="21"/>
      <c r="K101" s="21"/>
      <c r="L101" s="21"/>
      <c r="M101" s="22"/>
      <c r="N101" s="11"/>
      <c r="O101" s="11"/>
    </row>
    <row r="102" spans="1:15">
      <c r="A102" s="11"/>
      <c r="B102" s="14"/>
      <c r="C102" s="11"/>
      <c r="D102" s="11"/>
      <c r="E102" s="20"/>
      <c r="F102" s="11"/>
      <c r="G102" s="11"/>
      <c r="H102" s="20"/>
      <c r="I102" s="21"/>
      <c r="J102" s="21"/>
      <c r="K102" s="21"/>
      <c r="L102" s="21"/>
      <c r="M102" s="22"/>
      <c r="N102" s="11"/>
      <c r="O102" s="11"/>
    </row>
    <row r="103" spans="1:15">
      <c r="A103" s="11"/>
      <c r="B103" s="14"/>
      <c r="C103" s="11"/>
      <c r="D103" s="11"/>
      <c r="E103" s="20"/>
      <c r="F103" s="11"/>
      <c r="G103" s="11"/>
      <c r="H103" s="20"/>
      <c r="I103" s="21"/>
      <c r="J103" s="21"/>
      <c r="K103" s="21"/>
      <c r="L103" s="21"/>
      <c r="M103" s="22"/>
      <c r="N103" s="11"/>
      <c r="O103" s="11"/>
    </row>
    <row r="104" spans="1:15">
      <c r="A104" s="11"/>
      <c r="B104" s="14"/>
      <c r="C104" s="11"/>
      <c r="D104" s="11"/>
      <c r="E104" s="20"/>
      <c r="F104" s="11"/>
      <c r="G104" s="11"/>
      <c r="H104" s="20"/>
      <c r="I104" s="21"/>
      <c r="J104" s="21"/>
      <c r="K104" s="21"/>
      <c r="L104" s="21"/>
      <c r="M104" s="22"/>
      <c r="N104" s="11"/>
      <c r="O104" s="11"/>
    </row>
    <row r="105" spans="1:15">
      <c r="A105" s="11"/>
      <c r="B105" s="14"/>
      <c r="C105" s="11"/>
      <c r="D105" s="11"/>
      <c r="E105" s="20"/>
      <c r="F105" s="11"/>
      <c r="G105" s="11"/>
      <c r="H105" s="20"/>
      <c r="I105" s="21"/>
      <c r="J105" s="21"/>
      <c r="K105" s="21"/>
      <c r="L105" s="21"/>
      <c r="M105" s="22"/>
      <c r="N105" s="11"/>
      <c r="O105" s="11"/>
    </row>
    <row r="106" spans="1:15">
      <c r="A106" s="11"/>
      <c r="B106" s="14"/>
      <c r="C106" s="11"/>
      <c r="D106" s="11"/>
      <c r="E106" s="20"/>
      <c r="F106" s="11"/>
      <c r="G106" s="11"/>
      <c r="H106" s="20"/>
      <c r="I106" s="21"/>
      <c r="J106" s="21"/>
      <c r="K106" s="21"/>
      <c r="L106" s="21"/>
      <c r="M106" s="22"/>
      <c r="N106" s="11"/>
      <c r="O106" s="11"/>
    </row>
    <row r="107" spans="1:15">
      <c r="A107" s="11"/>
      <c r="B107" s="14"/>
      <c r="C107" s="11"/>
      <c r="D107" s="11"/>
      <c r="E107" s="20"/>
      <c r="F107" s="11"/>
      <c r="G107" s="11"/>
      <c r="H107" s="20"/>
      <c r="I107" s="21"/>
      <c r="J107" s="21"/>
      <c r="K107" s="21"/>
      <c r="L107" s="21"/>
      <c r="M107" s="22"/>
      <c r="N107" s="11"/>
      <c r="O107" s="11"/>
    </row>
    <row r="108" spans="1:15">
      <c r="A108" s="11"/>
      <c r="B108" s="14"/>
      <c r="C108" s="11"/>
      <c r="D108" s="11"/>
      <c r="E108" s="20"/>
      <c r="F108" s="11"/>
      <c r="G108" s="11"/>
      <c r="H108" s="20"/>
      <c r="I108" s="21"/>
      <c r="J108" s="21"/>
      <c r="K108" s="21"/>
      <c r="L108" s="21"/>
      <c r="M108" s="22"/>
      <c r="N108" s="11"/>
      <c r="O108" s="11"/>
    </row>
    <row r="109" spans="1:15">
      <c r="A109" s="11"/>
      <c r="B109" s="14"/>
      <c r="C109" s="11"/>
      <c r="D109" s="11"/>
      <c r="E109" s="20"/>
      <c r="F109" s="11"/>
      <c r="G109" s="11"/>
      <c r="H109" s="20"/>
      <c r="I109" s="21"/>
      <c r="J109" s="21"/>
      <c r="K109" s="21"/>
      <c r="L109" s="21"/>
      <c r="M109" s="22"/>
      <c r="N109" s="11"/>
      <c r="O109" s="11"/>
    </row>
    <row r="110" spans="1:15">
      <c r="A110" s="11"/>
      <c r="B110" s="14"/>
      <c r="C110" s="11"/>
      <c r="D110" s="11"/>
      <c r="E110" s="20"/>
      <c r="F110" s="11"/>
      <c r="G110" s="11"/>
      <c r="H110" s="20"/>
      <c r="I110" s="21"/>
      <c r="J110" s="21"/>
      <c r="K110" s="21"/>
      <c r="L110" s="21"/>
      <c r="M110" s="22"/>
      <c r="N110" s="11"/>
      <c r="O110" s="11"/>
    </row>
    <row r="111" spans="1:15">
      <c r="A111" s="11"/>
      <c r="B111" s="14"/>
      <c r="C111" s="11"/>
      <c r="D111" s="11"/>
      <c r="E111" s="20"/>
      <c r="F111" s="11"/>
      <c r="G111" s="11"/>
      <c r="H111" s="20"/>
      <c r="I111" s="21"/>
      <c r="J111" s="21"/>
      <c r="K111" s="21"/>
      <c r="L111" s="21"/>
      <c r="M111" s="22"/>
      <c r="N111" s="11"/>
      <c r="O111" s="11"/>
    </row>
    <row r="112" spans="1:15">
      <c r="A112" s="11"/>
      <c r="B112" s="14"/>
      <c r="C112" s="11"/>
      <c r="D112" s="11"/>
      <c r="E112" s="20"/>
      <c r="F112" s="11"/>
      <c r="G112" s="11"/>
      <c r="H112" s="20"/>
      <c r="I112" s="21"/>
      <c r="J112" s="21"/>
      <c r="K112" s="21"/>
      <c r="L112" s="21"/>
      <c r="M112" s="22"/>
      <c r="N112" s="11"/>
      <c r="O112" s="11"/>
    </row>
    <row r="113" spans="1:15">
      <c r="A113" s="11"/>
      <c r="B113" s="14"/>
      <c r="C113" s="11"/>
      <c r="D113" s="11"/>
      <c r="E113" s="20"/>
      <c r="F113" s="11"/>
      <c r="G113" s="11"/>
      <c r="H113" s="20"/>
      <c r="I113" s="21"/>
      <c r="J113" s="21"/>
      <c r="K113" s="21"/>
      <c r="L113" s="21"/>
      <c r="M113" s="22"/>
      <c r="N113" s="11"/>
      <c r="O113" s="11"/>
    </row>
    <row r="114" spans="1:15">
      <c r="A114" s="11"/>
      <c r="B114" s="14"/>
      <c r="C114" s="11"/>
      <c r="D114" s="11"/>
      <c r="E114" s="20"/>
      <c r="F114" s="11"/>
      <c r="G114" s="11"/>
      <c r="H114" s="20"/>
      <c r="I114" s="21"/>
      <c r="J114" s="21"/>
      <c r="K114" s="21"/>
      <c r="L114" s="21"/>
      <c r="M114" s="22"/>
      <c r="N114" s="11"/>
      <c r="O114" s="11"/>
    </row>
    <row r="115" spans="1:15">
      <c r="A115" s="11"/>
      <c r="B115" s="14"/>
      <c r="C115" s="11"/>
      <c r="D115" s="11"/>
      <c r="E115" s="20"/>
      <c r="F115" s="11"/>
      <c r="G115" s="11"/>
      <c r="H115" s="20"/>
      <c r="I115" s="21"/>
      <c r="J115" s="21"/>
      <c r="K115" s="21"/>
      <c r="L115" s="21"/>
      <c r="M115" s="22"/>
      <c r="N115" s="11"/>
      <c r="O115" s="11"/>
    </row>
    <row r="116" spans="1:15">
      <c r="A116" s="11"/>
      <c r="B116" s="14"/>
      <c r="C116" s="11"/>
      <c r="D116" s="11"/>
      <c r="E116" s="20"/>
      <c r="F116" s="11"/>
      <c r="G116" s="11"/>
      <c r="H116" s="20"/>
      <c r="I116" s="21"/>
      <c r="J116" s="21"/>
      <c r="K116" s="21"/>
      <c r="L116" s="21"/>
      <c r="M116" s="22"/>
      <c r="N116" s="11"/>
      <c r="O116" s="11"/>
    </row>
    <row r="117" spans="1:15">
      <c r="A117" s="11"/>
      <c r="B117" s="14"/>
      <c r="C117" s="11"/>
      <c r="D117" s="11"/>
      <c r="E117" s="20"/>
      <c r="F117" s="11"/>
      <c r="G117" s="11"/>
      <c r="H117" s="20"/>
      <c r="I117" s="21"/>
      <c r="J117" s="21"/>
      <c r="K117" s="21"/>
      <c r="L117" s="21"/>
      <c r="M117" s="22"/>
      <c r="N117" s="11"/>
      <c r="O117" s="11"/>
    </row>
    <row r="118" spans="1:15">
      <c r="A118" s="11"/>
      <c r="B118" s="14"/>
      <c r="C118" s="11"/>
      <c r="D118" s="11"/>
      <c r="E118" s="20"/>
      <c r="F118" s="11"/>
      <c r="G118" s="11"/>
      <c r="H118" s="20"/>
      <c r="I118" s="21"/>
      <c r="J118" s="21"/>
      <c r="K118" s="21"/>
      <c r="L118" s="21"/>
      <c r="M118" s="22"/>
      <c r="N118" s="11"/>
      <c r="O118" s="11"/>
    </row>
    <row r="119" spans="1:15">
      <c r="A119" s="11"/>
      <c r="B119" s="14"/>
      <c r="C119" s="11"/>
      <c r="D119" s="11"/>
      <c r="E119" s="20"/>
      <c r="F119" s="11"/>
      <c r="G119" s="11"/>
      <c r="H119" s="20"/>
      <c r="I119" s="21"/>
      <c r="J119" s="21"/>
      <c r="K119" s="21"/>
      <c r="L119" s="21"/>
      <c r="M119" s="22"/>
      <c r="N119" s="11"/>
      <c r="O119" s="11"/>
    </row>
    <row r="120" spans="1:15">
      <c r="A120" s="11"/>
      <c r="B120" s="14"/>
      <c r="C120" s="11"/>
      <c r="D120" s="11"/>
      <c r="E120" s="20"/>
      <c r="F120" s="11"/>
      <c r="G120" s="11"/>
      <c r="H120" s="20"/>
      <c r="I120" s="21"/>
      <c r="J120" s="21"/>
      <c r="K120" s="21"/>
      <c r="L120" s="21"/>
      <c r="M120" s="22"/>
      <c r="N120" s="11"/>
      <c r="O120" s="11"/>
    </row>
    <row r="121" spans="1:15">
      <c r="A121" s="11"/>
      <c r="B121" s="14"/>
      <c r="C121" s="11"/>
      <c r="D121" s="11"/>
      <c r="E121" s="20"/>
      <c r="F121" s="11"/>
      <c r="G121" s="11"/>
      <c r="H121" s="20"/>
      <c r="I121" s="21"/>
      <c r="J121" s="21"/>
      <c r="K121" s="21"/>
      <c r="L121" s="21"/>
      <c r="M121" s="22"/>
      <c r="N121" s="11"/>
      <c r="O121" s="11"/>
    </row>
    <row r="122" spans="1:15">
      <c r="A122" s="11"/>
      <c r="B122" s="14"/>
      <c r="C122" s="11"/>
      <c r="D122" s="11"/>
      <c r="E122" s="20"/>
      <c r="F122" s="11"/>
      <c r="G122" s="11"/>
      <c r="H122" s="20"/>
      <c r="I122" s="21"/>
      <c r="J122" s="21"/>
      <c r="K122" s="21"/>
      <c r="L122" s="21"/>
      <c r="M122" s="22"/>
      <c r="N122" s="11"/>
      <c r="O122" s="11"/>
    </row>
    <row r="123" spans="1:15">
      <c r="A123" s="11"/>
      <c r="B123" s="14"/>
      <c r="C123" s="11"/>
      <c r="D123" s="11"/>
      <c r="E123" s="20"/>
      <c r="F123" s="11"/>
      <c r="G123" s="11"/>
      <c r="H123" s="20"/>
      <c r="I123" s="21"/>
      <c r="J123" s="21"/>
      <c r="K123" s="21"/>
      <c r="L123" s="21"/>
      <c r="M123" s="22"/>
      <c r="N123" s="11"/>
      <c r="O123" s="11"/>
    </row>
    <row r="124" spans="1:15">
      <c r="A124" s="11"/>
      <c r="B124" s="14"/>
      <c r="C124" s="11"/>
      <c r="D124" s="11"/>
      <c r="E124" s="20"/>
      <c r="F124" s="11"/>
      <c r="G124" s="11"/>
      <c r="H124" s="20"/>
      <c r="I124" s="21"/>
      <c r="J124" s="21"/>
      <c r="K124" s="21"/>
      <c r="L124" s="21"/>
      <c r="M124" s="22"/>
      <c r="N124" s="11"/>
      <c r="O124" s="11"/>
    </row>
    <row r="125" spans="1:15">
      <c r="A125" s="11"/>
      <c r="B125" s="14"/>
      <c r="C125" s="11"/>
      <c r="D125" s="11"/>
      <c r="E125" s="20"/>
      <c r="F125" s="11"/>
      <c r="G125" s="11"/>
      <c r="H125" s="20"/>
      <c r="I125" s="21"/>
      <c r="J125" s="21"/>
      <c r="K125" s="21"/>
      <c r="L125" s="21"/>
      <c r="M125" s="22"/>
      <c r="N125" s="11"/>
      <c r="O125" s="11"/>
    </row>
    <row r="126" spans="1:15">
      <c r="A126" s="11"/>
      <c r="B126" s="14"/>
      <c r="C126" s="11"/>
      <c r="D126" s="11"/>
      <c r="E126" s="20"/>
      <c r="F126" s="11"/>
      <c r="G126" s="11"/>
      <c r="H126" s="20"/>
      <c r="I126" s="21"/>
      <c r="J126" s="21"/>
      <c r="K126" s="21"/>
      <c r="L126" s="21"/>
      <c r="M126" s="22"/>
      <c r="N126" s="11"/>
      <c r="O126" s="11"/>
    </row>
    <row r="127" spans="1:15">
      <c r="A127" s="11"/>
      <c r="B127" s="14"/>
      <c r="C127" s="11"/>
      <c r="D127" s="11"/>
      <c r="E127" s="20"/>
      <c r="F127" s="11"/>
      <c r="G127" s="11"/>
      <c r="H127" s="20"/>
      <c r="I127" s="21"/>
      <c r="J127" s="21"/>
      <c r="K127" s="21"/>
      <c r="L127" s="21"/>
      <c r="M127" s="22"/>
      <c r="N127" s="11"/>
      <c r="O127" s="11"/>
    </row>
    <row r="128" spans="1:15">
      <c r="A128" s="11"/>
      <c r="B128" s="14"/>
      <c r="C128" s="11"/>
      <c r="D128" s="11"/>
      <c r="E128" s="20"/>
      <c r="F128" s="11"/>
      <c r="G128" s="11"/>
      <c r="H128" s="20"/>
      <c r="I128" s="21"/>
      <c r="J128" s="21"/>
      <c r="K128" s="21"/>
      <c r="L128" s="21"/>
      <c r="M128" s="22"/>
      <c r="N128" s="11"/>
      <c r="O128" s="11"/>
    </row>
    <row r="129" spans="1:15">
      <c r="A129" s="11"/>
      <c r="B129" s="14"/>
      <c r="C129" s="11"/>
      <c r="D129" s="11"/>
      <c r="E129" s="20"/>
      <c r="F129" s="11"/>
      <c r="G129" s="11"/>
      <c r="H129" s="20"/>
      <c r="I129" s="21"/>
      <c r="J129" s="21"/>
      <c r="K129" s="21"/>
      <c r="L129" s="21"/>
      <c r="M129" s="22"/>
      <c r="N129" s="11"/>
      <c r="O129" s="11"/>
    </row>
    <row r="130" spans="1:15">
      <c r="A130" s="11"/>
      <c r="B130" s="14"/>
      <c r="C130" s="11"/>
      <c r="D130" s="11"/>
      <c r="E130" s="20"/>
      <c r="F130" s="11"/>
      <c r="G130" s="11"/>
      <c r="H130" s="20"/>
      <c r="I130" s="21"/>
      <c r="J130" s="21"/>
      <c r="K130" s="21"/>
      <c r="L130" s="21"/>
      <c r="M130" s="22"/>
      <c r="N130" s="11"/>
      <c r="O130" s="11"/>
    </row>
    <row r="131" spans="1:15">
      <c r="A131" s="11"/>
      <c r="B131" s="14"/>
      <c r="C131" s="11"/>
      <c r="D131" s="11"/>
      <c r="E131" s="20"/>
      <c r="F131" s="11"/>
      <c r="G131" s="11"/>
      <c r="H131" s="20"/>
      <c r="I131" s="21"/>
      <c r="J131" s="21"/>
      <c r="K131" s="21"/>
      <c r="L131" s="21"/>
      <c r="M131" s="22"/>
      <c r="N131" s="11"/>
      <c r="O131" s="11"/>
    </row>
    <row r="132" spans="1:15">
      <c r="A132" s="11"/>
      <c r="B132" s="14"/>
      <c r="C132" s="11"/>
      <c r="D132" s="11"/>
      <c r="E132" s="20"/>
      <c r="F132" s="11"/>
      <c r="G132" s="11"/>
      <c r="H132" s="20"/>
      <c r="I132" s="21"/>
      <c r="J132" s="21"/>
      <c r="K132" s="21"/>
      <c r="L132" s="21"/>
      <c r="M132" s="22"/>
      <c r="N132" s="11"/>
      <c r="O132" s="11"/>
    </row>
    <row r="133" spans="1:15">
      <c r="A133" s="11"/>
      <c r="B133" s="14"/>
      <c r="C133" s="11"/>
      <c r="D133" s="11"/>
      <c r="E133" s="20"/>
      <c r="F133" s="11"/>
      <c r="G133" s="11"/>
      <c r="H133" s="20"/>
      <c r="I133" s="21"/>
      <c r="J133" s="21"/>
      <c r="K133" s="21"/>
      <c r="L133" s="21"/>
      <c r="M133" s="22"/>
      <c r="N133" s="11"/>
      <c r="O133" s="11"/>
    </row>
    <row r="134" spans="1:15">
      <c r="A134" s="11"/>
      <c r="B134" s="14"/>
      <c r="C134" s="11"/>
      <c r="D134" s="11"/>
      <c r="E134" s="20"/>
      <c r="F134" s="11"/>
      <c r="G134" s="11"/>
      <c r="H134" s="20"/>
      <c r="I134" s="21"/>
      <c r="J134" s="21"/>
      <c r="K134" s="21"/>
      <c r="L134" s="21"/>
      <c r="M134" s="22"/>
      <c r="N134" s="11"/>
      <c r="O134" s="11"/>
    </row>
    <row r="135" spans="1:15">
      <c r="A135" s="11"/>
      <c r="B135" s="14"/>
      <c r="C135" s="11"/>
      <c r="D135" s="11"/>
      <c r="E135" s="20"/>
      <c r="F135" s="11"/>
      <c r="G135" s="11"/>
      <c r="H135" s="20"/>
      <c r="I135" s="21"/>
      <c r="J135" s="21"/>
      <c r="K135" s="21"/>
      <c r="L135" s="21"/>
      <c r="M135" s="22"/>
      <c r="N135" s="11"/>
      <c r="O135" s="11"/>
    </row>
    <row r="136" spans="1:15">
      <c r="A136" s="11"/>
      <c r="B136" s="14"/>
      <c r="C136" s="11"/>
      <c r="D136" s="11"/>
      <c r="E136" s="20"/>
      <c r="F136" s="11"/>
      <c r="G136" s="11"/>
      <c r="H136" s="20"/>
      <c r="I136" s="21"/>
      <c r="J136" s="21"/>
      <c r="K136" s="21"/>
      <c r="L136" s="21"/>
      <c r="M136" s="22"/>
      <c r="N136" s="11"/>
      <c r="O136" s="11"/>
    </row>
    <row r="137" spans="1:15">
      <c r="A137" s="11"/>
      <c r="B137" s="14"/>
      <c r="C137" s="11"/>
      <c r="D137" s="11"/>
      <c r="E137" s="20"/>
      <c r="F137" s="11"/>
      <c r="G137" s="11"/>
      <c r="H137" s="20"/>
      <c r="I137" s="21"/>
      <c r="J137" s="21"/>
      <c r="K137" s="21"/>
      <c r="L137" s="21"/>
      <c r="M137" s="22"/>
      <c r="N137" s="11"/>
      <c r="O137" s="11"/>
    </row>
    <row r="138" spans="1:15">
      <c r="A138" s="11"/>
      <c r="B138" s="14"/>
      <c r="C138" s="11"/>
      <c r="D138" s="11"/>
      <c r="E138" s="20"/>
      <c r="F138" s="11"/>
      <c r="G138" s="11"/>
      <c r="H138" s="20"/>
      <c r="I138" s="21"/>
      <c r="J138" s="21"/>
      <c r="K138" s="21"/>
      <c r="L138" s="21"/>
      <c r="M138" s="22"/>
      <c r="N138" s="11"/>
      <c r="O138" s="11"/>
    </row>
    <row r="139" spans="1:15">
      <c r="A139" s="11"/>
      <c r="B139" s="14"/>
      <c r="C139" s="11"/>
      <c r="D139" s="11"/>
      <c r="E139" s="20"/>
      <c r="F139" s="11"/>
      <c r="G139" s="11"/>
      <c r="H139" s="20"/>
      <c r="I139" s="21"/>
      <c r="J139" s="21"/>
      <c r="K139" s="21"/>
      <c r="L139" s="21"/>
      <c r="M139" s="22"/>
      <c r="N139" s="11"/>
      <c r="O139" s="11"/>
    </row>
    <row r="140" spans="1:15">
      <c r="A140" s="11"/>
      <c r="B140" s="14"/>
      <c r="C140" s="11"/>
      <c r="D140" s="11"/>
      <c r="E140" s="20"/>
      <c r="F140" s="11"/>
      <c r="G140" s="11"/>
      <c r="H140" s="20"/>
      <c r="I140" s="21"/>
      <c r="J140" s="21"/>
      <c r="K140" s="21"/>
      <c r="L140" s="21"/>
      <c r="M140" s="22"/>
      <c r="N140" s="11"/>
      <c r="O140" s="11"/>
    </row>
    <row r="141" spans="1:15">
      <c r="A141" s="11"/>
      <c r="B141" s="14"/>
      <c r="C141" s="11"/>
      <c r="D141" s="11"/>
      <c r="E141" s="20"/>
      <c r="F141" s="11"/>
      <c r="G141" s="11"/>
      <c r="H141" s="20"/>
      <c r="I141" s="21"/>
      <c r="J141" s="21"/>
      <c r="K141" s="21"/>
      <c r="L141" s="21"/>
      <c r="M141" s="22"/>
      <c r="N141" s="11"/>
      <c r="O141" s="11"/>
    </row>
    <row r="142" spans="1:15">
      <c r="A142" s="11"/>
      <c r="B142" s="14"/>
      <c r="C142" s="11"/>
      <c r="D142" s="11"/>
      <c r="E142" s="20"/>
      <c r="F142" s="11"/>
      <c r="G142" s="11"/>
      <c r="H142" s="20"/>
      <c r="I142" s="21"/>
      <c r="J142" s="21"/>
      <c r="K142" s="21"/>
      <c r="L142" s="21"/>
      <c r="M142" s="22"/>
      <c r="N142" s="11"/>
      <c r="O142" s="11"/>
    </row>
    <row r="143" spans="1:15">
      <c r="A143" s="11"/>
      <c r="B143" s="14"/>
      <c r="C143" s="11"/>
      <c r="D143" s="11"/>
      <c r="E143" s="20"/>
      <c r="F143" s="11"/>
      <c r="G143" s="11"/>
      <c r="H143" s="20"/>
      <c r="I143" s="21"/>
      <c r="J143" s="21"/>
      <c r="K143" s="21"/>
      <c r="L143" s="21"/>
      <c r="M143" s="22"/>
      <c r="N143" s="11"/>
      <c r="O143" s="11"/>
    </row>
    <row r="144" spans="1:15">
      <c r="A144" s="11"/>
      <c r="B144" s="14"/>
      <c r="C144" s="11"/>
      <c r="D144" s="11"/>
      <c r="E144" s="20"/>
      <c r="F144" s="11"/>
      <c r="G144" s="11"/>
      <c r="H144" s="20"/>
      <c r="I144" s="21"/>
      <c r="J144" s="21"/>
      <c r="K144" s="21"/>
      <c r="L144" s="21"/>
      <c r="M144" s="22"/>
      <c r="N144" s="11"/>
      <c r="O144" s="11"/>
    </row>
    <row r="145" spans="1:15">
      <c r="A145" s="11"/>
      <c r="B145" s="14"/>
      <c r="C145" s="11"/>
      <c r="D145" s="11"/>
      <c r="E145" s="20"/>
      <c r="F145" s="11"/>
      <c r="G145" s="11"/>
      <c r="H145" s="20"/>
      <c r="I145" s="21"/>
      <c r="J145" s="21"/>
      <c r="K145" s="21"/>
      <c r="L145" s="21"/>
      <c r="M145" s="22"/>
      <c r="N145" s="11"/>
      <c r="O145" s="11"/>
    </row>
    <row r="146" spans="1:15">
      <c r="A146" s="11"/>
      <c r="B146" s="14"/>
      <c r="C146" s="11"/>
      <c r="D146" s="11"/>
      <c r="E146" s="20"/>
      <c r="F146" s="11"/>
      <c r="G146" s="11"/>
      <c r="H146" s="20"/>
      <c r="I146" s="21"/>
      <c r="J146" s="21"/>
      <c r="K146" s="21"/>
      <c r="L146" s="21"/>
      <c r="M146" s="22"/>
      <c r="N146" s="11"/>
      <c r="O146" s="11"/>
    </row>
    <row r="147" spans="1:15">
      <c r="A147" s="11"/>
      <c r="B147" s="14"/>
      <c r="C147" s="11"/>
      <c r="D147" s="11"/>
      <c r="E147" s="20"/>
      <c r="F147" s="11"/>
      <c r="G147" s="11"/>
      <c r="H147" s="20"/>
      <c r="I147" s="21"/>
      <c r="J147" s="21"/>
      <c r="K147" s="21"/>
      <c r="L147" s="21"/>
      <c r="M147" s="22"/>
      <c r="N147" s="11"/>
      <c r="O147" s="11"/>
    </row>
    <row r="148" spans="1:15">
      <c r="A148" s="11"/>
      <c r="B148" s="14"/>
      <c r="C148" s="11"/>
      <c r="D148" s="11"/>
      <c r="E148" s="20"/>
      <c r="F148" s="11"/>
      <c r="G148" s="11"/>
      <c r="H148" s="20"/>
      <c r="I148" s="21"/>
      <c r="J148" s="21"/>
      <c r="K148" s="21"/>
      <c r="L148" s="21"/>
      <c r="M148" s="22"/>
      <c r="N148" s="11"/>
      <c r="O148" s="11"/>
    </row>
    <row r="149" spans="1:15">
      <c r="A149" s="11"/>
      <c r="B149" s="14"/>
      <c r="C149" s="11"/>
      <c r="D149" s="11"/>
      <c r="E149" s="20"/>
      <c r="F149" s="11"/>
      <c r="G149" s="11"/>
      <c r="H149" s="20"/>
      <c r="I149" s="21"/>
      <c r="J149" s="21"/>
      <c r="K149" s="21"/>
      <c r="L149" s="21"/>
      <c r="M149" s="22"/>
      <c r="N149" s="11"/>
      <c r="O149" s="11"/>
    </row>
    <row r="150" spans="1:15">
      <c r="A150" s="11"/>
      <c r="B150" s="14"/>
      <c r="C150" s="11"/>
      <c r="D150" s="11"/>
      <c r="E150" s="20"/>
      <c r="F150" s="11"/>
      <c r="G150" s="11"/>
      <c r="H150" s="20"/>
      <c r="I150" s="21"/>
      <c r="J150" s="21"/>
      <c r="K150" s="21"/>
      <c r="L150" s="21"/>
      <c r="M150" s="22"/>
      <c r="N150" s="11"/>
      <c r="O150" s="11"/>
    </row>
    <row r="151" spans="1:15">
      <c r="A151" s="11"/>
      <c r="B151" s="14"/>
      <c r="C151" s="11"/>
      <c r="D151" s="11"/>
      <c r="E151" s="20"/>
      <c r="F151" s="11"/>
      <c r="G151" s="11"/>
      <c r="H151" s="20"/>
      <c r="I151" s="21"/>
      <c r="J151" s="21"/>
      <c r="K151" s="21"/>
      <c r="L151" s="21"/>
      <c r="M151" s="22"/>
      <c r="N151" s="11"/>
      <c r="O151" s="11"/>
    </row>
    <row r="152" spans="1:15">
      <c r="A152" s="11"/>
      <c r="B152" s="14"/>
      <c r="C152" s="11"/>
      <c r="D152" s="11"/>
      <c r="E152" s="20"/>
      <c r="F152" s="11"/>
      <c r="G152" s="11"/>
      <c r="H152" s="20"/>
      <c r="I152" s="21"/>
      <c r="J152" s="21"/>
      <c r="K152" s="21"/>
      <c r="L152" s="21"/>
      <c r="M152" s="22"/>
      <c r="N152" s="11"/>
      <c r="O152" s="11"/>
    </row>
    <row r="153" spans="1:15">
      <c r="A153" s="11"/>
      <c r="B153" s="14"/>
      <c r="C153" s="11"/>
      <c r="D153" s="11"/>
      <c r="E153" s="20"/>
      <c r="F153" s="11"/>
      <c r="G153" s="11"/>
      <c r="H153" s="20"/>
      <c r="I153" s="21"/>
      <c r="J153" s="21"/>
      <c r="K153" s="21"/>
      <c r="L153" s="21"/>
      <c r="M153" s="22"/>
      <c r="N153" s="11"/>
      <c r="O153" s="11"/>
    </row>
    <row r="154" spans="1:15">
      <c r="A154" s="11"/>
      <c r="B154" s="14"/>
      <c r="C154" s="11"/>
      <c r="D154" s="11"/>
      <c r="E154" s="20"/>
      <c r="F154" s="11"/>
      <c r="G154" s="11"/>
      <c r="H154" s="20"/>
      <c r="I154" s="21"/>
      <c r="J154" s="21"/>
      <c r="K154" s="21"/>
      <c r="L154" s="21"/>
      <c r="M154" s="22"/>
      <c r="N154" s="11"/>
      <c r="O154" s="11"/>
    </row>
    <row r="155" spans="1:15">
      <c r="A155" s="11"/>
      <c r="B155" s="14"/>
      <c r="C155" s="11"/>
      <c r="D155" s="11"/>
      <c r="E155" s="20"/>
      <c r="F155" s="11"/>
      <c r="G155" s="11"/>
      <c r="H155" s="20"/>
      <c r="I155" s="21"/>
      <c r="J155" s="21"/>
      <c r="K155" s="21"/>
      <c r="L155" s="21"/>
      <c r="M155" s="22"/>
      <c r="N155" s="11"/>
      <c r="O155" s="11"/>
    </row>
    <row r="156" spans="1:15">
      <c r="A156" s="11"/>
      <c r="B156" s="14"/>
      <c r="C156" s="11"/>
      <c r="D156" s="11"/>
      <c r="E156" s="20"/>
      <c r="F156" s="11"/>
      <c r="G156" s="11"/>
      <c r="H156" s="20"/>
      <c r="I156" s="21"/>
      <c r="J156" s="21"/>
      <c r="K156" s="21"/>
      <c r="L156" s="21"/>
      <c r="M156" s="22"/>
      <c r="N156" s="11"/>
      <c r="O156" s="11"/>
    </row>
    <row r="157" spans="1:15">
      <c r="A157" s="11"/>
      <c r="B157" s="14"/>
      <c r="C157" s="11"/>
      <c r="D157" s="11"/>
      <c r="E157" s="20"/>
      <c r="F157" s="11"/>
      <c r="G157" s="11"/>
      <c r="H157" s="20"/>
      <c r="I157" s="21"/>
      <c r="J157" s="21"/>
      <c r="K157" s="21"/>
      <c r="L157" s="21"/>
      <c r="M157" s="22"/>
      <c r="N157" s="11"/>
      <c r="O157" s="11"/>
    </row>
    <row r="158" spans="1:15">
      <c r="A158" s="11"/>
      <c r="B158" s="14"/>
      <c r="C158" s="11"/>
      <c r="D158" s="11"/>
      <c r="E158" s="20"/>
      <c r="F158" s="11"/>
      <c r="G158" s="11"/>
      <c r="H158" s="20"/>
      <c r="I158" s="21"/>
      <c r="J158" s="21"/>
      <c r="K158" s="21"/>
      <c r="L158" s="21"/>
      <c r="M158" s="22"/>
      <c r="N158" s="11"/>
      <c r="O158" s="11"/>
    </row>
    <row r="159" spans="1:15">
      <c r="A159" s="11"/>
      <c r="B159" s="14"/>
      <c r="C159" s="11"/>
      <c r="D159" s="11"/>
      <c r="E159" s="20"/>
      <c r="F159" s="11"/>
      <c r="G159" s="11"/>
      <c r="H159" s="20"/>
      <c r="I159" s="21"/>
      <c r="J159" s="21"/>
      <c r="K159" s="21"/>
      <c r="L159" s="21"/>
      <c r="M159" s="22"/>
      <c r="N159" s="11"/>
      <c r="O159" s="11"/>
    </row>
    <row r="160" spans="1:15">
      <c r="A160" s="11"/>
      <c r="B160" s="14"/>
      <c r="C160" s="11"/>
      <c r="D160" s="11"/>
      <c r="E160" s="20"/>
      <c r="F160" s="11"/>
      <c r="G160" s="11"/>
      <c r="H160" s="20"/>
      <c r="I160" s="21"/>
      <c r="J160" s="21"/>
      <c r="K160" s="21"/>
      <c r="L160" s="21"/>
      <c r="M160" s="22"/>
      <c r="N160" s="11"/>
      <c r="O160" s="11"/>
    </row>
    <row r="161" spans="1:15">
      <c r="A161" s="11"/>
      <c r="B161" s="14"/>
      <c r="C161" s="11"/>
      <c r="D161" s="11"/>
      <c r="E161" s="20"/>
      <c r="F161" s="11"/>
      <c r="G161" s="11"/>
      <c r="H161" s="20"/>
      <c r="I161" s="21"/>
      <c r="J161" s="21"/>
      <c r="K161" s="21"/>
      <c r="L161" s="21"/>
      <c r="M161" s="22"/>
      <c r="N161" s="11"/>
      <c r="O161" s="11"/>
    </row>
    <row r="162" spans="1:15">
      <c r="A162" s="11"/>
      <c r="B162" s="14"/>
      <c r="C162" s="11"/>
      <c r="D162" s="11"/>
      <c r="E162" s="20"/>
      <c r="F162" s="11"/>
      <c r="G162" s="11"/>
      <c r="H162" s="20"/>
      <c r="I162" s="21"/>
      <c r="J162" s="21"/>
      <c r="K162" s="21"/>
      <c r="L162" s="21"/>
      <c r="M162" s="22"/>
      <c r="N162" s="11"/>
      <c r="O162" s="11"/>
    </row>
    <row r="163" spans="1:15">
      <c r="A163" s="11"/>
      <c r="B163" s="14"/>
      <c r="C163" s="11"/>
      <c r="D163" s="11"/>
      <c r="E163" s="20"/>
      <c r="F163" s="11"/>
      <c r="G163" s="11"/>
      <c r="H163" s="20"/>
      <c r="I163" s="21"/>
      <c r="J163" s="21"/>
      <c r="K163" s="21"/>
      <c r="L163" s="21"/>
      <c r="M163" s="22"/>
      <c r="N163" s="11"/>
      <c r="O163" s="11"/>
    </row>
    <row r="164" spans="1:15">
      <c r="A164" s="11"/>
      <c r="B164" s="14"/>
      <c r="C164" s="11"/>
      <c r="D164" s="11"/>
      <c r="E164" s="20"/>
      <c r="F164" s="11"/>
      <c r="G164" s="11"/>
      <c r="H164" s="20"/>
      <c r="I164" s="21"/>
      <c r="J164" s="21"/>
      <c r="K164" s="21"/>
      <c r="L164" s="21"/>
      <c r="M164" s="22"/>
      <c r="N164" s="11"/>
      <c r="O164" s="11"/>
    </row>
    <row r="165" spans="1:15">
      <c r="A165" s="11"/>
      <c r="B165" s="14"/>
      <c r="C165" s="11"/>
      <c r="D165" s="11"/>
      <c r="E165" s="20"/>
      <c r="F165" s="11"/>
      <c r="G165" s="11"/>
      <c r="H165" s="20"/>
      <c r="I165" s="21"/>
      <c r="J165" s="21"/>
      <c r="K165" s="21"/>
      <c r="L165" s="21"/>
      <c r="M165" s="22"/>
      <c r="N165" s="11"/>
      <c r="O165" s="11"/>
    </row>
    <row r="166" spans="1:15">
      <c r="A166" s="11"/>
      <c r="B166" s="14"/>
      <c r="C166" s="11"/>
      <c r="D166" s="11"/>
      <c r="E166" s="20"/>
      <c r="F166" s="11"/>
      <c r="G166" s="11"/>
      <c r="H166" s="20"/>
      <c r="I166" s="21"/>
      <c r="J166" s="21"/>
      <c r="K166" s="21"/>
      <c r="L166" s="21"/>
      <c r="M166" s="22"/>
      <c r="N166" s="11"/>
      <c r="O166" s="11"/>
    </row>
    <row r="167" spans="1:15">
      <c r="A167" s="11"/>
      <c r="B167" s="14"/>
      <c r="C167" s="11"/>
      <c r="D167" s="11"/>
      <c r="E167" s="20"/>
      <c r="F167" s="11"/>
      <c r="G167" s="11"/>
      <c r="H167" s="20"/>
      <c r="I167" s="21"/>
      <c r="J167" s="21"/>
      <c r="K167" s="21"/>
      <c r="L167" s="21"/>
      <c r="M167" s="22"/>
      <c r="N167" s="11"/>
      <c r="O167" s="11"/>
    </row>
    <row r="168" spans="1:15">
      <c r="A168" s="11"/>
      <c r="B168" s="14"/>
      <c r="C168" s="11"/>
      <c r="D168" s="11"/>
      <c r="E168" s="20"/>
      <c r="F168" s="11"/>
      <c r="G168" s="11"/>
      <c r="H168" s="20"/>
      <c r="I168" s="21"/>
      <c r="J168" s="21"/>
      <c r="K168" s="21"/>
      <c r="L168" s="21"/>
      <c r="M168" s="22"/>
      <c r="N168" s="11"/>
      <c r="O168" s="11"/>
    </row>
    <row r="169" spans="1:15">
      <c r="A169" s="11"/>
      <c r="B169" s="14"/>
      <c r="C169" s="11"/>
      <c r="D169" s="11"/>
      <c r="E169" s="20"/>
      <c r="F169" s="11"/>
      <c r="G169" s="11"/>
      <c r="H169" s="20"/>
      <c r="I169" s="21"/>
      <c r="J169" s="21"/>
      <c r="K169" s="21"/>
      <c r="L169" s="21"/>
      <c r="M169" s="22"/>
      <c r="N169" s="11"/>
      <c r="O169" s="11"/>
    </row>
    <row r="170" spans="1:15">
      <c r="A170" s="11"/>
      <c r="B170" s="14"/>
      <c r="C170" s="11"/>
      <c r="D170" s="11"/>
      <c r="E170" s="20"/>
      <c r="F170" s="11"/>
      <c r="G170" s="11"/>
      <c r="H170" s="20"/>
      <c r="I170" s="21"/>
      <c r="J170" s="21"/>
      <c r="K170" s="21"/>
      <c r="L170" s="21"/>
      <c r="M170" s="22"/>
      <c r="N170" s="11"/>
      <c r="O170" s="11"/>
    </row>
    <row r="171" spans="1:15">
      <c r="A171" s="11"/>
      <c r="B171" s="14"/>
      <c r="C171" s="11"/>
      <c r="D171" s="11"/>
      <c r="E171" s="20"/>
      <c r="F171" s="11"/>
      <c r="G171" s="11"/>
      <c r="H171" s="20"/>
      <c r="I171" s="21"/>
      <c r="J171" s="21"/>
      <c r="K171" s="21"/>
      <c r="L171" s="21"/>
      <c r="M171" s="22"/>
      <c r="N171" s="11"/>
      <c r="O171" s="11"/>
    </row>
    <row r="172" spans="1:15">
      <c r="A172" s="11"/>
      <c r="B172" s="14"/>
      <c r="C172" s="11"/>
      <c r="D172" s="11"/>
      <c r="E172" s="20"/>
      <c r="F172" s="11"/>
      <c r="G172" s="11"/>
      <c r="H172" s="20"/>
      <c r="I172" s="21"/>
      <c r="J172" s="21"/>
      <c r="K172" s="21"/>
      <c r="L172" s="21"/>
      <c r="M172" s="22"/>
      <c r="N172" s="11"/>
      <c r="O172" s="11"/>
    </row>
    <row r="173" spans="1:15">
      <c r="A173" s="11"/>
      <c r="B173" s="14"/>
      <c r="C173" s="11"/>
      <c r="D173" s="11"/>
      <c r="E173" s="20"/>
      <c r="F173" s="11"/>
      <c r="G173" s="11"/>
      <c r="H173" s="20"/>
      <c r="I173" s="21"/>
      <c r="J173" s="21"/>
      <c r="K173" s="21"/>
      <c r="L173" s="21"/>
      <c r="M173" s="22"/>
      <c r="N173" s="11"/>
      <c r="O173" s="11"/>
    </row>
    <row r="174" spans="1:15">
      <c r="A174" s="11"/>
      <c r="B174" s="14"/>
      <c r="C174" s="11"/>
      <c r="D174" s="11"/>
      <c r="E174" s="20"/>
      <c r="F174" s="11"/>
      <c r="G174" s="11"/>
      <c r="H174" s="20"/>
      <c r="I174" s="21"/>
      <c r="J174" s="21"/>
      <c r="K174" s="21"/>
      <c r="L174" s="21"/>
      <c r="M174" s="22"/>
      <c r="N174" s="11"/>
      <c r="O174" s="11"/>
    </row>
    <row r="175" spans="1:15">
      <c r="A175" s="11"/>
      <c r="B175" s="14"/>
      <c r="C175" s="11"/>
      <c r="D175" s="11"/>
      <c r="E175" s="20"/>
      <c r="F175" s="11"/>
      <c r="G175" s="11"/>
      <c r="H175" s="20"/>
      <c r="I175" s="21"/>
      <c r="J175" s="21"/>
      <c r="K175" s="21"/>
      <c r="L175" s="21"/>
      <c r="M175" s="22"/>
      <c r="N175" s="11"/>
      <c r="O175" s="11"/>
    </row>
    <row r="176" spans="1:15">
      <c r="A176" s="11"/>
      <c r="B176" s="14"/>
      <c r="C176" s="11"/>
      <c r="D176" s="11"/>
      <c r="E176" s="20"/>
      <c r="F176" s="11"/>
      <c r="G176" s="11"/>
      <c r="H176" s="20"/>
      <c r="I176" s="21"/>
      <c r="J176" s="21"/>
      <c r="K176" s="21"/>
      <c r="L176" s="21"/>
      <c r="M176" s="22"/>
      <c r="N176" s="11"/>
      <c r="O176" s="11"/>
    </row>
    <row r="177" spans="1:15">
      <c r="A177" s="11"/>
      <c r="B177" s="14"/>
      <c r="C177" s="11"/>
      <c r="D177" s="11"/>
      <c r="E177" s="20"/>
      <c r="F177" s="11"/>
      <c r="G177" s="11"/>
      <c r="H177" s="20"/>
      <c r="I177" s="21"/>
      <c r="J177" s="21"/>
      <c r="K177" s="21"/>
      <c r="L177" s="21"/>
      <c r="M177" s="22"/>
      <c r="N177" s="11"/>
      <c r="O177" s="11"/>
    </row>
    <row r="178" spans="1:15">
      <c r="A178" s="11"/>
      <c r="B178" s="14"/>
      <c r="C178" s="11"/>
      <c r="D178" s="11"/>
      <c r="E178" s="20"/>
      <c r="F178" s="11"/>
      <c r="G178" s="11"/>
      <c r="H178" s="20"/>
      <c r="I178" s="21"/>
      <c r="J178" s="21"/>
      <c r="K178" s="21"/>
      <c r="L178" s="21"/>
      <c r="M178" s="22"/>
      <c r="N178" s="11"/>
      <c r="O178" s="11"/>
    </row>
    <row r="179" spans="1:15">
      <c r="A179" s="11"/>
      <c r="B179" s="14"/>
      <c r="C179" s="11"/>
      <c r="D179" s="11"/>
      <c r="E179" s="20"/>
      <c r="F179" s="11"/>
      <c r="G179" s="11"/>
      <c r="H179" s="20"/>
      <c r="I179" s="21"/>
      <c r="J179" s="21"/>
      <c r="K179" s="21"/>
      <c r="L179" s="21"/>
      <c r="M179" s="22"/>
      <c r="N179" s="11"/>
      <c r="O179" s="11"/>
    </row>
    <row r="180" spans="1:15">
      <c r="A180" s="11"/>
      <c r="B180" s="14"/>
      <c r="C180" s="11"/>
      <c r="D180" s="11"/>
      <c r="E180" s="20"/>
      <c r="F180" s="11"/>
      <c r="G180" s="11"/>
      <c r="H180" s="20"/>
      <c r="I180" s="21"/>
      <c r="J180" s="21"/>
      <c r="K180" s="21"/>
      <c r="L180" s="21"/>
      <c r="M180" s="22"/>
      <c r="N180" s="11"/>
      <c r="O180" s="11"/>
    </row>
    <row r="181" spans="1:15">
      <c r="A181" s="11"/>
      <c r="B181" s="14"/>
      <c r="C181" s="11"/>
      <c r="D181" s="11"/>
      <c r="E181" s="20"/>
      <c r="F181" s="11"/>
      <c r="G181" s="11"/>
      <c r="H181" s="20"/>
      <c r="I181" s="21"/>
      <c r="J181" s="21"/>
      <c r="K181" s="21"/>
      <c r="L181" s="21"/>
      <c r="M181" s="22"/>
      <c r="N181" s="11"/>
      <c r="O181" s="11"/>
    </row>
    <row r="182" spans="1:15">
      <c r="A182" s="11"/>
      <c r="B182" s="14"/>
      <c r="C182" s="11"/>
      <c r="D182" s="11"/>
      <c r="E182" s="20"/>
      <c r="F182" s="11"/>
      <c r="G182" s="11"/>
      <c r="H182" s="20"/>
      <c r="I182" s="21"/>
      <c r="J182" s="21"/>
      <c r="K182" s="21"/>
      <c r="L182" s="21"/>
      <c r="M182" s="22"/>
      <c r="N182" s="11"/>
      <c r="O182" s="11"/>
    </row>
    <row r="183" spans="1:15">
      <c r="A183" s="11"/>
      <c r="B183" s="14"/>
      <c r="C183" s="11"/>
      <c r="D183" s="11"/>
      <c r="E183" s="20"/>
      <c r="F183" s="11"/>
      <c r="G183" s="11"/>
      <c r="H183" s="20"/>
      <c r="I183" s="21"/>
      <c r="J183" s="21"/>
      <c r="K183" s="21"/>
      <c r="L183" s="21"/>
      <c r="M183" s="22"/>
      <c r="N183" s="11"/>
      <c r="O183" s="11"/>
    </row>
    <row r="184" spans="1:15">
      <c r="A184" s="11"/>
      <c r="B184" s="14"/>
      <c r="C184" s="11"/>
      <c r="D184" s="11"/>
      <c r="E184" s="20"/>
      <c r="F184" s="11"/>
      <c r="G184" s="11"/>
      <c r="H184" s="20"/>
      <c r="I184" s="21"/>
      <c r="J184" s="21"/>
      <c r="K184" s="21"/>
      <c r="L184" s="21"/>
      <c r="M184" s="22"/>
      <c r="N184" s="11"/>
      <c r="O184" s="11"/>
    </row>
    <row r="185" spans="1:15">
      <c r="A185" s="11"/>
      <c r="B185" s="14"/>
      <c r="C185" s="11"/>
      <c r="D185" s="11"/>
      <c r="E185" s="20"/>
      <c r="F185" s="11"/>
      <c r="G185" s="11"/>
      <c r="H185" s="20"/>
      <c r="I185" s="21"/>
      <c r="J185" s="21"/>
      <c r="K185" s="21"/>
      <c r="L185" s="21"/>
      <c r="M185" s="22"/>
      <c r="N185" s="11"/>
      <c r="O185" s="11"/>
    </row>
    <row r="186" spans="1:15">
      <c r="A186" s="11"/>
      <c r="B186" s="14"/>
      <c r="C186" s="11"/>
      <c r="D186" s="11"/>
      <c r="E186" s="20"/>
      <c r="F186" s="11"/>
      <c r="G186" s="11"/>
      <c r="H186" s="20"/>
      <c r="I186" s="21"/>
      <c r="J186" s="21"/>
      <c r="K186" s="21"/>
      <c r="L186" s="21"/>
      <c r="M186" s="22"/>
      <c r="N186" s="11"/>
      <c r="O186" s="11"/>
    </row>
    <row r="187" spans="1:15">
      <c r="A187" s="11"/>
      <c r="B187" s="14"/>
      <c r="C187" s="11"/>
      <c r="D187" s="11"/>
      <c r="E187" s="20"/>
      <c r="F187" s="11"/>
      <c r="G187" s="11"/>
      <c r="H187" s="20"/>
      <c r="I187" s="21"/>
      <c r="J187" s="21"/>
      <c r="K187" s="21"/>
      <c r="L187" s="21"/>
      <c r="M187" s="22"/>
      <c r="N187" s="11"/>
      <c r="O187" s="11"/>
    </row>
    <row r="188" spans="1:15">
      <c r="A188" s="11"/>
      <c r="B188" s="14"/>
      <c r="C188" s="11"/>
      <c r="D188" s="11"/>
      <c r="E188" s="20"/>
      <c r="F188" s="11"/>
      <c r="G188" s="11"/>
      <c r="H188" s="20"/>
      <c r="I188" s="21"/>
      <c r="J188" s="21"/>
      <c r="K188" s="21"/>
      <c r="L188" s="21"/>
      <c r="M188" s="22"/>
      <c r="N188" s="11"/>
      <c r="O188" s="11"/>
    </row>
    <row r="189" spans="1:15">
      <c r="A189" s="11"/>
      <c r="B189" s="14"/>
      <c r="C189" s="11"/>
      <c r="D189" s="11"/>
      <c r="E189" s="20"/>
      <c r="F189" s="11"/>
      <c r="G189" s="11"/>
      <c r="H189" s="20"/>
      <c r="I189" s="21"/>
      <c r="J189" s="21"/>
      <c r="K189" s="21"/>
      <c r="L189" s="21"/>
      <c r="M189" s="22"/>
      <c r="N189" s="11"/>
      <c r="O189" s="11"/>
    </row>
    <row r="190" spans="1:15">
      <c r="A190" s="11"/>
      <c r="B190" s="14"/>
      <c r="C190" s="11"/>
      <c r="D190" s="11"/>
      <c r="E190" s="20"/>
      <c r="F190" s="11"/>
      <c r="G190" s="11"/>
      <c r="H190" s="20"/>
      <c r="I190" s="21"/>
      <c r="J190" s="21"/>
      <c r="K190" s="21"/>
      <c r="L190" s="21"/>
      <c r="M190" s="22"/>
      <c r="N190" s="11"/>
      <c r="O190" s="11"/>
    </row>
    <row r="191" spans="1:15">
      <c r="A191" s="11"/>
      <c r="B191" s="14"/>
      <c r="C191" s="11"/>
      <c r="D191" s="11"/>
      <c r="E191" s="20"/>
      <c r="F191" s="11"/>
      <c r="G191" s="11"/>
      <c r="H191" s="20"/>
      <c r="I191" s="21"/>
      <c r="J191" s="21"/>
      <c r="K191" s="21"/>
      <c r="L191" s="21"/>
      <c r="M191" s="22"/>
      <c r="N191" s="11"/>
      <c r="O191" s="11"/>
    </row>
    <row r="192" spans="1:15">
      <c r="A192" s="11"/>
      <c r="B192" s="14"/>
      <c r="C192" s="11"/>
      <c r="D192" s="11"/>
      <c r="E192" s="20"/>
      <c r="F192" s="11"/>
      <c r="G192" s="11"/>
      <c r="H192" s="20"/>
      <c r="I192" s="21"/>
      <c r="J192" s="21"/>
      <c r="K192" s="21"/>
      <c r="L192" s="21"/>
      <c r="M192" s="22"/>
      <c r="N192" s="11"/>
      <c r="O192" s="11"/>
    </row>
    <row r="193" spans="1:15">
      <c r="A193" s="11"/>
      <c r="B193" s="14"/>
      <c r="C193" s="11"/>
      <c r="D193" s="11"/>
      <c r="E193" s="20"/>
      <c r="F193" s="11"/>
      <c r="G193" s="11"/>
      <c r="H193" s="20"/>
      <c r="I193" s="21"/>
      <c r="J193" s="21"/>
      <c r="K193" s="21"/>
      <c r="L193" s="21"/>
      <c r="M193" s="22"/>
      <c r="N193" s="11"/>
      <c r="O193" s="11"/>
    </row>
    <row r="194" spans="1:15">
      <c r="A194" s="11"/>
      <c r="B194" s="14"/>
      <c r="C194" s="11"/>
      <c r="D194" s="11"/>
      <c r="E194" s="20"/>
      <c r="F194" s="11"/>
      <c r="G194" s="11"/>
      <c r="H194" s="20"/>
      <c r="I194" s="21"/>
      <c r="J194" s="21"/>
      <c r="K194" s="21"/>
      <c r="L194" s="21"/>
      <c r="M194" s="22"/>
      <c r="N194" s="11"/>
      <c r="O194" s="11"/>
    </row>
    <row r="195" spans="1:15">
      <c r="A195" s="11"/>
      <c r="B195" s="14"/>
      <c r="C195" s="11"/>
      <c r="D195" s="11"/>
      <c r="E195" s="20"/>
      <c r="F195" s="11"/>
      <c r="G195" s="11"/>
      <c r="H195" s="20"/>
      <c r="I195" s="21"/>
      <c r="J195" s="21"/>
      <c r="K195" s="21"/>
      <c r="L195" s="21"/>
      <c r="M195" s="22"/>
      <c r="N195" s="11"/>
      <c r="O195" s="11"/>
    </row>
    <row r="196" spans="1:15">
      <c r="A196" s="11"/>
      <c r="B196" s="14"/>
      <c r="C196" s="11"/>
      <c r="D196" s="11"/>
      <c r="E196" s="20"/>
      <c r="F196" s="11"/>
      <c r="G196" s="11"/>
      <c r="H196" s="20"/>
      <c r="I196" s="21"/>
      <c r="J196" s="21"/>
      <c r="K196" s="21"/>
      <c r="L196" s="21"/>
      <c r="M196" s="22"/>
      <c r="N196" s="11"/>
      <c r="O196" s="11"/>
    </row>
    <row r="197" spans="1:15">
      <c r="A197" s="11"/>
      <c r="B197" s="14"/>
      <c r="C197" s="11"/>
      <c r="D197" s="11"/>
      <c r="E197" s="20"/>
      <c r="F197" s="11"/>
      <c r="G197" s="11"/>
      <c r="H197" s="20"/>
      <c r="I197" s="21"/>
      <c r="J197" s="21"/>
      <c r="K197" s="21"/>
      <c r="L197" s="21"/>
      <c r="M197" s="22"/>
      <c r="N197" s="11"/>
      <c r="O197" s="11"/>
    </row>
    <row r="198" spans="1:15">
      <c r="A198" s="11"/>
      <c r="B198" s="14"/>
      <c r="C198" s="11"/>
      <c r="D198" s="11"/>
      <c r="E198" s="20"/>
      <c r="F198" s="11"/>
      <c r="G198" s="11"/>
      <c r="H198" s="20"/>
      <c r="I198" s="21"/>
      <c r="J198" s="21"/>
      <c r="K198" s="21"/>
      <c r="L198" s="21"/>
      <c r="M198" s="22"/>
      <c r="N198" s="11"/>
      <c r="O198" s="11"/>
    </row>
    <row r="199" spans="1:15">
      <c r="A199" s="11"/>
      <c r="B199" s="14"/>
      <c r="C199" s="11"/>
      <c r="D199" s="11"/>
      <c r="E199" s="20"/>
      <c r="F199" s="11"/>
      <c r="G199" s="11"/>
      <c r="H199" s="20"/>
      <c r="I199" s="21"/>
      <c r="J199" s="21"/>
      <c r="K199" s="21"/>
      <c r="L199" s="21"/>
      <c r="M199" s="22"/>
      <c r="N199" s="11"/>
      <c r="O199" s="11"/>
    </row>
    <row r="200" spans="1:15">
      <c r="A200" s="11"/>
      <c r="B200" s="14"/>
      <c r="C200" s="11"/>
      <c r="D200" s="11"/>
      <c r="E200" s="20"/>
      <c r="F200" s="11"/>
      <c r="G200" s="11"/>
      <c r="H200" s="20"/>
      <c r="I200" s="21"/>
      <c r="J200" s="21"/>
      <c r="K200" s="21"/>
      <c r="L200" s="21"/>
      <c r="M200" s="22"/>
      <c r="N200" s="11"/>
      <c r="O200" s="11"/>
    </row>
    <row r="201" spans="1:15">
      <c r="A201" s="11"/>
      <c r="B201" s="14"/>
      <c r="C201" s="11"/>
      <c r="D201" s="11"/>
      <c r="E201" s="20"/>
      <c r="F201" s="11"/>
      <c r="G201" s="11"/>
      <c r="H201" s="20"/>
      <c r="I201" s="21"/>
      <c r="J201" s="21"/>
      <c r="K201" s="21"/>
      <c r="L201" s="21"/>
      <c r="M201" s="22"/>
      <c r="N201" s="11"/>
      <c r="O201" s="11"/>
    </row>
    <row r="202" spans="1:15">
      <c r="A202" s="11"/>
      <c r="B202" s="14"/>
      <c r="C202" s="11"/>
      <c r="D202" s="11"/>
      <c r="E202" s="20"/>
      <c r="F202" s="11"/>
      <c r="G202" s="11"/>
      <c r="H202" s="20"/>
      <c r="I202" s="21"/>
      <c r="J202" s="21"/>
      <c r="K202" s="21"/>
      <c r="L202" s="21"/>
      <c r="M202" s="22"/>
      <c r="N202" s="11"/>
      <c r="O202" s="11"/>
    </row>
    <row r="203" spans="1:15">
      <c r="A203" s="11"/>
      <c r="B203" s="14"/>
      <c r="C203" s="11"/>
      <c r="D203" s="11"/>
      <c r="E203" s="20"/>
      <c r="F203" s="11"/>
      <c r="G203" s="11"/>
      <c r="H203" s="20"/>
      <c r="I203" s="21"/>
      <c r="J203" s="21"/>
      <c r="K203" s="21"/>
      <c r="L203" s="21"/>
      <c r="M203" s="22"/>
      <c r="N203" s="11"/>
      <c r="O203" s="11"/>
    </row>
    <row r="204" spans="1:15">
      <c r="A204" s="11"/>
      <c r="B204" s="14"/>
      <c r="C204" s="11"/>
      <c r="D204" s="11"/>
      <c r="E204" s="20"/>
      <c r="F204" s="11"/>
      <c r="G204" s="11"/>
      <c r="H204" s="20"/>
      <c r="I204" s="21"/>
      <c r="J204" s="21"/>
      <c r="K204" s="21"/>
      <c r="L204" s="21"/>
      <c r="M204" s="22"/>
      <c r="N204" s="11"/>
      <c r="O204" s="11"/>
    </row>
  </sheetData>
  <dataValidations count="6">
    <dataValidation type="list" allowBlank="1" showInputMessage="1" showErrorMessage="1" sqref="C5:C204">
      <formula1>"Y,N"</formula1>
    </dataValidation>
    <dataValidation type="list" allowBlank="1" showInputMessage="1" showErrorMessage="1" sqref="D5:D204">
      <formula1>"N,CM,CLIENT"</formula1>
    </dataValidation>
    <dataValidation type="list" allowBlank="1" showInputMessage="1" showErrorMessage="1" sqref="F5:F204">
      <formula1>"Y,N"</formula1>
    </dataValidation>
    <dataValidation type="list" allowBlank="1" showInputMessage="1" showErrorMessage="1" sqref="G5:G204">
      <formula1>"Y,N"</formula1>
    </dataValidation>
    <dataValidation type="list" allowBlank="1" showInputMessage="1" showErrorMessage="1" sqref="N5:N204">
      <formula1>"CRR,BCBS"</formula1>
    </dataValidation>
    <dataValidation type="list" allowBlank="1" showInputMessage="1" showErrorMessage="1" sqref="O5:O204">
      <formula1>"MIXED,SHARED"</formula1>
    </dataValidation>
  </dataValidations>
  <pageMargins left="0.4" right="0.4" top="0.5" bottom="0.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Trades">
    <tabColor rgb="FFBF9000"/>
    <pageSetUpPr fitToPage="1"/>
  </sheetPr>
  <dimension ref="A1:X369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13.7109375" customWidth="1"/>
    <col min="3" max="3" width="8.7109375" customWidth="1"/>
    <col min="4" max="4" width="12.7109375" customWidth="1"/>
    <col min="5" max="5" width="24.7109375" customWidth="1"/>
    <col min="6" max="6" width="10.7109375" customWidth="1"/>
    <col min="7" max="7" width="9.7109375" customWidth="1"/>
    <col min="8" max="8" width="8.7109375" customWidth="1"/>
    <col min="9" max="9" width="11.7109375" customWidth="1"/>
    <col min="10" max="10" width="18.7109375" customWidth="1"/>
    <col min="11" max="11" width="15.7109375" customWidth="1"/>
    <col min="12" max="12" width="9.7109375" customWidth="1"/>
    <col min="13" max="13" width="13.7109375" customWidth="1"/>
    <col min="14" max="14" width="8.7109375" customWidth="1"/>
    <col min="15" max="18" width="11.7109375" customWidth="1"/>
    <col min="19" max="20" width="10.7109375" customWidth="1"/>
    <col min="21" max="21" width="8.7109375" customWidth="1"/>
    <col min="22" max="23" width="9.7109375" customWidth="1"/>
    <col min="24" max="24" width="50.7109375" customWidth="1"/>
  </cols>
  <sheetData>
    <row r="1" spans="1:24" ht="34" customHeight="1">
      <c r="A1" s="1" t="s">
        <v>60</v>
      </c>
    </row>
    <row r="2" spans="1:24">
      <c r="A2" s="2" t="s">
        <v>308</v>
      </c>
    </row>
    <row r="3" spans="1:24" ht="24" customHeight="1">
      <c r="A3" s="15" t="s">
        <v>327</v>
      </c>
      <c r="B3" s="15" t="s">
        <v>328</v>
      </c>
      <c r="C3" s="15" t="s">
        <v>329</v>
      </c>
      <c r="D3" s="15" t="s">
        <v>330</v>
      </c>
      <c r="E3" s="15" t="s">
        <v>331</v>
      </c>
      <c r="F3" s="15" t="s">
        <v>332</v>
      </c>
      <c r="G3" s="15" t="s">
        <v>333</v>
      </c>
      <c r="H3" s="15" t="s">
        <v>334</v>
      </c>
      <c r="I3" s="15" t="s">
        <v>335</v>
      </c>
      <c r="J3" s="15" t="s">
        <v>336</v>
      </c>
      <c r="K3" s="15" t="s">
        <v>337</v>
      </c>
      <c r="L3" s="15"/>
      <c r="M3" s="15" t="s">
        <v>338</v>
      </c>
      <c r="N3" s="15" t="s">
        <v>339</v>
      </c>
      <c r="O3" s="15" t="s">
        <v>340</v>
      </c>
      <c r="P3" s="15" t="s">
        <v>341</v>
      </c>
      <c r="Q3" s="15" t="s">
        <v>342</v>
      </c>
      <c r="R3" s="15" t="s">
        <v>343</v>
      </c>
      <c r="S3" s="15" t="s">
        <v>343</v>
      </c>
      <c r="T3" s="15" t="s">
        <v>343</v>
      </c>
      <c r="U3" s="15" t="s">
        <v>344</v>
      </c>
      <c r="V3" s="15" t="s">
        <v>345</v>
      </c>
      <c r="W3" s="15" t="s">
        <v>345</v>
      </c>
      <c r="X3" s="15"/>
    </row>
    <row r="4" spans="1:24" ht="42" customHeight="1">
      <c r="A4" s="6" t="s">
        <v>309</v>
      </c>
      <c r="B4" s="6" t="s">
        <v>259</v>
      </c>
      <c r="C4" s="6" t="s">
        <v>177</v>
      </c>
      <c r="D4" s="6" t="s">
        <v>20</v>
      </c>
      <c r="E4" s="6" t="s">
        <v>310</v>
      </c>
      <c r="F4" s="6" t="s">
        <v>311</v>
      </c>
      <c r="G4" s="6" t="s">
        <v>18</v>
      </c>
      <c r="H4" s="6" t="s">
        <v>312</v>
      </c>
      <c r="I4" s="6" t="s">
        <v>28</v>
      </c>
      <c r="J4" s="6" t="s">
        <v>313</v>
      </c>
      <c r="K4" s="6" t="s">
        <v>24</v>
      </c>
      <c r="L4" s="6" t="s">
        <v>314</v>
      </c>
      <c r="M4" s="6" t="s">
        <v>315</v>
      </c>
      <c r="N4" s="6" t="s">
        <v>316</v>
      </c>
      <c r="O4" s="6" t="s">
        <v>317</v>
      </c>
      <c r="P4" s="6" t="s">
        <v>318</v>
      </c>
      <c r="Q4" s="6" t="s">
        <v>319</v>
      </c>
      <c r="R4" s="6" t="s">
        <v>320</v>
      </c>
      <c r="S4" s="6" t="s">
        <v>321</v>
      </c>
      <c r="T4" s="6" t="s">
        <v>322</v>
      </c>
      <c r="U4" s="6" t="s">
        <v>323</v>
      </c>
      <c r="V4" s="6" t="s">
        <v>324</v>
      </c>
      <c r="W4" s="6" t="s">
        <v>325</v>
      </c>
      <c r="X4" s="6" t="s">
        <v>326</v>
      </c>
    </row>
    <row r="5" spans="1:24">
      <c r="A5" s="11" t="s">
        <v>346</v>
      </c>
      <c r="B5" s="11" t="s">
        <v>273</v>
      </c>
      <c r="C5" s="11" t="s">
        <v>45</v>
      </c>
      <c r="D5" s="11"/>
      <c r="E5" s="11" t="s">
        <v>248</v>
      </c>
      <c r="F5" s="11" t="s">
        <v>347</v>
      </c>
      <c r="G5" s="11" t="s">
        <v>348</v>
      </c>
      <c r="H5" s="11"/>
      <c r="I5" s="11" t="s">
        <v>349</v>
      </c>
      <c r="J5" s="11"/>
      <c r="K5" s="21">
        <v>10000</v>
      </c>
      <c r="L5" s="11" t="s">
        <v>123</v>
      </c>
      <c r="M5" s="21">
        <v>30</v>
      </c>
      <c r="N5" s="11" t="s">
        <v>123</v>
      </c>
      <c r="O5" s="9"/>
      <c r="P5" s="9">
        <v>49945</v>
      </c>
      <c r="Q5" s="9">
        <v>49945</v>
      </c>
      <c r="R5" s="9"/>
      <c r="S5" s="23"/>
      <c r="T5" s="23"/>
      <c r="U5" s="24"/>
      <c r="V5" s="13"/>
      <c r="W5" s="13"/>
      <c r="X5" s="14" t="s">
        <v>350</v>
      </c>
    </row>
    <row r="6" spans="1:24">
      <c r="A6" s="11" t="s">
        <v>351</v>
      </c>
      <c r="B6" s="11" t="s">
        <v>273</v>
      </c>
      <c r="C6" s="11" t="s">
        <v>45</v>
      </c>
      <c r="D6" s="11"/>
      <c r="E6" s="11" t="s">
        <v>248</v>
      </c>
      <c r="F6" s="11" t="s">
        <v>347</v>
      </c>
      <c r="G6" s="11" t="s">
        <v>352</v>
      </c>
      <c r="H6" s="11"/>
      <c r="I6" s="11" t="s">
        <v>349</v>
      </c>
      <c r="J6" s="11"/>
      <c r="K6" s="21">
        <v>10000</v>
      </c>
      <c r="L6" s="11" t="s">
        <v>123</v>
      </c>
      <c r="M6" s="21">
        <v>-20</v>
      </c>
      <c r="N6" s="11" t="s">
        <v>123</v>
      </c>
      <c r="O6" s="9"/>
      <c r="P6" s="9">
        <v>47755</v>
      </c>
      <c r="Q6" s="9">
        <v>47755</v>
      </c>
      <c r="R6" s="9"/>
      <c r="S6" s="23"/>
      <c r="T6" s="23"/>
      <c r="U6" s="24"/>
      <c r="V6" s="13"/>
      <c r="W6" s="13"/>
      <c r="X6" s="14" t="s">
        <v>353</v>
      </c>
    </row>
    <row r="7" spans="1:24">
      <c r="A7" s="11" t="s">
        <v>354</v>
      </c>
      <c r="B7" s="11" t="s">
        <v>273</v>
      </c>
      <c r="C7" s="11" t="s">
        <v>45</v>
      </c>
      <c r="D7" s="11"/>
      <c r="E7" s="11" t="s">
        <v>123</v>
      </c>
      <c r="F7" s="11" t="s">
        <v>355</v>
      </c>
      <c r="G7" s="11" t="s">
        <v>348</v>
      </c>
      <c r="H7" s="11" t="s">
        <v>356</v>
      </c>
      <c r="I7" s="11" t="s">
        <v>349</v>
      </c>
      <c r="J7" s="11"/>
      <c r="K7" s="21">
        <v>5000</v>
      </c>
      <c r="L7" s="11" t="s">
        <v>123</v>
      </c>
      <c r="M7" s="21">
        <v>50</v>
      </c>
      <c r="N7" s="11" t="s">
        <v>123</v>
      </c>
      <c r="O7" s="9">
        <v>46660</v>
      </c>
      <c r="P7" s="9">
        <v>50310</v>
      </c>
      <c r="Q7" s="9">
        <v>50310</v>
      </c>
      <c r="R7" s="9">
        <v>46660</v>
      </c>
      <c r="S7" s="23">
        <v>0.06</v>
      </c>
      <c r="T7" s="23">
        <v>0.05</v>
      </c>
      <c r="U7" s="24"/>
      <c r="V7" s="13"/>
      <c r="W7" s="13"/>
      <c r="X7" s="14" t="s">
        <v>357</v>
      </c>
    </row>
    <row r="8" spans="1:24">
      <c r="A8" s="11" t="s">
        <v>358</v>
      </c>
      <c r="B8" s="11" t="s">
        <v>277</v>
      </c>
      <c r="C8" s="11" t="s">
        <v>188</v>
      </c>
      <c r="D8" s="11" t="s">
        <v>192</v>
      </c>
      <c r="E8" s="11" t="s">
        <v>359</v>
      </c>
      <c r="F8" s="11" t="s">
        <v>347</v>
      </c>
      <c r="G8" s="11" t="s">
        <v>348</v>
      </c>
      <c r="H8" s="11"/>
      <c r="I8" s="11" t="s">
        <v>349</v>
      </c>
      <c r="J8" s="11"/>
      <c r="K8" s="21">
        <v>10000</v>
      </c>
      <c r="L8" s="11" t="s">
        <v>123</v>
      </c>
      <c r="M8" s="21">
        <v>20</v>
      </c>
      <c r="N8" s="11" t="s">
        <v>123</v>
      </c>
      <c r="O8" s="9"/>
      <c r="P8" s="9">
        <v>47390</v>
      </c>
      <c r="Q8" s="9">
        <v>47390</v>
      </c>
      <c r="R8" s="9"/>
      <c r="S8" s="23"/>
      <c r="T8" s="23"/>
      <c r="U8" s="24"/>
      <c r="V8" s="13"/>
      <c r="W8" s="13"/>
      <c r="X8" s="14" t="s">
        <v>360</v>
      </c>
    </row>
    <row r="9" spans="1:24">
      <c r="A9" s="11" t="s">
        <v>361</v>
      </c>
      <c r="B9" s="11" t="s">
        <v>277</v>
      </c>
      <c r="C9" s="11" t="s">
        <v>188</v>
      </c>
      <c r="D9" s="11" t="s">
        <v>196</v>
      </c>
      <c r="E9" s="11" t="s">
        <v>362</v>
      </c>
      <c r="F9" s="11" t="s">
        <v>347</v>
      </c>
      <c r="G9" s="11" t="s">
        <v>352</v>
      </c>
      <c r="H9" s="11"/>
      <c r="I9" s="11" t="s">
        <v>349</v>
      </c>
      <c r="J9" s="11"/>
      <c r="K9" s="21">
        <v>10000</v>
      </c>
      <c r="L9" s="11" t="s">
        <v>123</v>
      </c>
      <c r="M9" s="21">
        <v>-40</v>
      </c>
      <c r="N9" s="11" t="s">
        <v>123</v>
      </c>
      <c r="O9" s="9"/>
      <c r="P9" s="9">
        <v>48485</v>
      </c>
      <c r="Q9" s="9">
        <v>48485</v>
      </c>
      <c r="R9" s="9"/>
      <c r="S9" s="23"/>
      <c r="T9" s="23"/>
      <c r="U9" s="24"/>
      <c r="V9" s="13"/>
      <c r="W9" s="13"/>
      <c r="X9" s="14" t="s">
        <v>363</v>
      </c>
    </row>
    <row r="10" spans="1:24">
      <c r="A10" s="11" t="s">
        <v>364</v>
      </c>
      <c r="B10" s="11" t="s">
        <v>277</v>
      </c>
      <c r="C10" s="11" t="s">
        <v>188</v>
      </c>
      <c r="D10" s="11" t="s">
        <v>217</v>
      </c>
      <c r="E10" s="11" t="s">
        <v>365</v>
      </c>
      <c r="F10" s="11" t="s">
        <v>347</v>
      </c>
      <c r="G10" s="11" t="s">
        <v>348</v>
      </c>
      <c r="H10" s="11"/>
      <c r="I10" s="11" t="s">
        <v>349</v>
      </c>
      <c r="J10" s="11"/>
      <c r="K10" s="21">
        <v>10000</v>
      </c>
      <c r="L10" s="11" t="s">
        <v>123</v>
      </c>
      <c r="M10" s="21">
        <v>0</v>
      </c>
      <c r="N10" s="11" t="s">
        <v>123</v>
      </c>
      <c r="O10" s="9"/>
      <c r="P10" s="9">
        <v>48120</v>
      </c>
      <c r="Q10" s="9">
        <v>48120</v>
      </c>
      <c r="R10" s="9"/>
      <c r="S10" s="23"/>
      <c r="T10" s="23"/>
      <c r="U10" s="24"/>
      <c r="V10" s="13"/>
      <c r="W10" s="13"/>
      <c r="X10" s="14" t="s">
        <v>366</v>
      </c>
    </row>
    <row r="11" spans="1:24">
      <c r="A11" s="11" t="s">
        <v>367</v>
      </c>
      <c r="B11" s="11" t="s">
        <v>279</v>
      </c>
      <c r="C11" s="11" t="s">
        <v>51</v>
      </c>
      <c r="D11" s="11" t="s">
        <v>231</v>
      </c>
      <c r="E11" s="11" t="s">
        <v>368</v>
      </c>
      <c r="F11" s="11" t="s">
        <v>347</v>
      </c>
      <c r="G11" s="11" t="s">
        <v>348</v>
      </c>
      <c r="H11" s="11"/>
      <c r="I11" s="11" t="s">
        <v>349</v>
      </c>
      <c r="J11" s="11"/>
      <c r="K11" s="21">
        <v>10000</v>
      </c>
      <c r="L11" s="11" t="s">
        <v>123</v>
      </c>
      <c r="M11" s="21">
        <v>-50</v>
      </c>
      <c r="N11" s="11" t="s">
        <v>123</v>
      </c>
      <c r="O11" s="9"/>
      <c r="P11" s="9"/>
      <c r="Q11" s="9">
        <v>46569</v>
      </c>
      <c r="R11" s="9"/>
      <c r="S11" s="23"/>
      <c r="T11" s="23"/>
      <c r="U11" s="24"/>
      <c r="V11" s="13"/>
      <c r="W11" s="13"/>
      <c r="X11" s="14" t="s">
        <v>369</v>
      </c>
    </row>
    <row r="12" spans="1:24">
      <c r="A12" s="11" t="s">
        <v>370</v>
      </c>
      <c r="B12" s="11" t="s">
        <v>279</v>
      </c>
      <c r="C12" s="11" t="s">
        <v>51</v>
      </c>
      <c r="D12" s="11" t="s">
        <v>231</v>
      </c>
      <c r="E12" s="11" t="s">
        <v>368</v>
      </c>
      <c r="F12" s="11" t="s">
        <v>347</v>
      </c>
      <c r="G12" s="11" t="s">
        <v>352</v>
      </c>
      <c r="H12" s="11"/>
      <c r="I12" s="11" t="s">
        <v>349</v>
      </c>
      <c r="J12" s="11"/>
      <c r="K12" s="21">
        <v>20000</v>
      </c>
      <c r="L12" s="11" t="s">
        <v>123</v>
      </c>
      <c r="M12" s="21">
        <v>-30</v>
      </c>
      <c r="N12" s="11" t="s">
        <v>123</v>
      </c>
      <c r="O12" s="9"/>
      <c r="P12" s="9"/>
      <c r="Q12" s="9">
        <v>47025</v>
      </c>
      <c r="R12" s="9"/>
      <c r="S12" s="23"/>
      <c r="T12" s="23"/>
      <c r="U12" s="24"/>
      <c r="V12" s="13"/>
      <c r="W12" s="13"/>
      <c r="X12" s="14" t="s">
        <v>371</v>
      </c>
    </row>
    <row r="13" spans="1:24">
      <c r="A13" s="11" t="s">
        <v>372</v>
      </c>
      <c r="B13" s="11" t="s">
        <v>279</v>
      </c>
      <c r="C13" s="11" t="s">
        <v>51</v>
      </c>
      <c r="D13" s="11" t="s">
        <v>233</v>
      </c>
      <c r="E13" s="11" t="s">
        <v>373</v>
      </c>
      <c r="F13" s="11" t="s">
        <v>347</v>
      </c>
      <c r="G13" s="11" t="s">
        <v>348</v>
      </c>
      <c r="H13" s="11"/>
      <c r="I13" s="11" t="s">
        <v>349</v>
      </c>
      <c r="J13" s="11"/>
      <c r="K13" s="21">
        <v>10000</v>
      </c>
      <c r="L13" s="11" t="s">
        <v>123</v>
      </c>
      <c r="M13" s="21">
        <v>100</v>
      </c>
      <c r="N13" s="11" t="s">
        <v>123</v>
      </c>
      <c r="O13" s="9"/>
      <c r="P13" s="9"/>
      <c r="Q13" s="9">
        <v>48120</v>
      </c>
      <c r="R13" s="9"/>
      <c r="S13" s="23"/>
      <c r="T13" s="23"/>
      <c r="U13" s="24"/>
      <c r="V13" s="13"/>
      <c r="W13" s="13"/>
      <c r="X13" s="14" t="s">
        <v>374</v>
      </c>
    </row>
    <row r="14" spans="1:24">
      <c r="A14" s="11" t="s">
        <v>375</v>
      </c>
      <c r="B14" s="11" t="s">
        <v>281</v>
      </c>
      <c r="C14" s="11" t="s">
        <v>45</v>
      </c>
      <c r="D14" s="11"/>
      <c r="E14" s="11" t="s">
        <v>248</v>
      </c>
      <c r="F14" s="11" t="s">
        <v>347</v>
      </c>
      <c r="G14" s="11" t="s">
        <v>348</v>
      </c>
      <c r="H14" s="11"/>
      <c r="I14" s="11" t="s">
        <v>349</v>
      </c>
      <c r="J14" s="11"/>
      <c r="K14" s="21">
        <v>10000</v>
      </c>
      <c r="L14" s="11" t="s">
        <v>123</v>
      </c>
      <c r="M14" s="21">
        <v>30</v>
      </c>
      <c r="N14" s="11" t="s">
        <v>123</v>
      </c>
      <c r="O14" s="9"/>
      <c r="P14" s="9">
        <v>49945</v>
      </c>
      <c r="Q14" s="9">
        <v>49945</v>
      </c>
      <c r="R14" s="9"/>
      <c r="S14" s="23"/>
      <c r="T14" s="23"/>
      <c r="U14" s="24"/>
      <c r="V14" s="13"/>
      <c r="W14" s="13"/>
      <c r="X14" s="14" t="s">
        <v>350</v>
      </c>
    </row>
    <row r="15" spans="1:24">
      <c r="A15" s="11" t="s">
        <v>376</v>
      </c>
      <c r="B15" s="11" t="s">
        <v>281</v>
      </c>
      <c r="C15" s="11" t="s">
        <v>45</v>
      </c>
      <c r="D15" s="11"/>
      <c r="E15" s="11" t="s">
        <v>248</v>
      </c>
      <c r="F15" s="11" t="s">
        <v>347</v>
      </c>
      <c r="G15" s="11" t="s">
        <v>352</v>
      </c>
      <c r="H15" s="11"/>
      <c r="I15" s="11" t="s">
        <v>349</v>
      </c>
      <c r="J15" s="11"/>
      <c r="K15" s="21">
        <v>10000</v>
      </c>
      <c r="L15" s="11" t="s">
        <v>123</v>
      </c>
      <c r="M15" s="21">
        <v>-20</v>
      </c>
      <c r="N15" s="11" t="s">
        <v>123</v>
      </c>
      <c r="O15" s="9"/>
      <c r="P15" s="9">
        <v>47755</v>
      </c>
      <c r="Q15" s="9">
        <v>47755</v>
      </c>
      <c r="R15" s="9"/>
      <c r="S15" s="23"/>
      <c r="T15" s="23"/>
      <c r="U15" s="24"/>
      <c r="V15" s="13"/>
      <c r="W15" s="13"/>
      <c r="X15" s="14" t="s">
        <v>353</v>
      </c>
    </row>
    <row r="16" spans="1:24">
      <c r="A16" s="11" t="s">
        <v>377</v>
      </c>
      <c r="B16" s="11" t="s">
        <v>281</v>
      </c>
      <c r="C16" s="11" t="s">
        <v>45</v>
      </c>
      <c r="D16" s="11"/>
      <c r="E16" s="11" t="s">
        <v>123</v>
      </c>
      <c r="F16" s="11" t="s">
        <v>355</v>
      </c>
      <c r="G16" s="11" t="s">
        <v>348</v>
      </c>
      <c r="H16" s="11" t="s">
        <v>356</v>
      </c>
      <c r="I16" s="11" t="s">
        <v>349</v>
      </c>
      <c r="J16" s="11"/>
      <c r="K16" s="21">
        <v>5000</v>
      </c>
      <c r="L16" s="11" t="s">
        <v>123</v>
      </c>
      <c r="M16" s="21">
        <v>50</v>
      </c>
      <c r="N16" s="11" t="s">
        <v>123</v>
      </c>
      <c r="O16" s="9">
        <v>46660</v>
      </c>
      <c r="P16" s="9">
        <v>50310</v>
      </c>
      <c r="Q16" s="9">
        <v>50310</v>
      </c>
      <c r="R16" s="9">
        <v>46660</v>
      </c>
      <c r="S16" s="23">
        <v>0.06</v>
      </c>
      <c r="T16" s="23">
        <v>0.05</v>
      </c>
      <c r="U16" s="24"/>
      <c r="V16" s="13"/>
      <c r="W16" s="13"/>
      <c r="X16" s="14" t="s">
        <v>357</v>
      </c>
    </row>
    <row r="17" spans="1:24">
      <c r="A17" s="11" t="s">
        <v>378</v>
      </c>
      <c r="B17" s="11" t="s">
        <v>281</v>
      </c>
      <c r="C17" s="11" t="s">
        <v>188</v>
      </c>
      <c r="D17" s="11" t="s">
        <v>192</v>
      </c>
      <c r="E17" s="11" t="s">
        <v>359</v>
      </c>
      <c r="F17" s="11" t="s">
        <v>347</v>
      </c>
      <c r="G17" s="11" t="s">
        <v>348</v>
      </c>
      <c r="H17" s="11"/>
      <c r="I17" s="11" t="s">
        <v>349</v>
      </c>
      <c r="J17" s="11"/>
      <c r="K17" s="21">
        <v>10000</v>
      </c>
      <c r="L17" s="11" t="s">
        <v>123</v>
      </c>
      <c r="M17" s="21">
        <v>20</v>
      </c>
      <c r="N17" s="11" t="s">
        <v>123</v>
      </c>
      <c r="O17" s="9"/>
      <c r="P17" s="9">
        <v>47390</v>
      </c>
      <c r="Q17" s="9">
        <v>47390</v>
      </c>
      <c r="R17" s="9"/>
      <c r="S17" s="23"/>
      <c r="T17" s="23"/>
      <c r="U17" s="24"/>
      <c r="V17" s="13"/>
      <c r="W17" s="13"/>
      <c r="X17" s="14" t="s">
        <v>360</v>
      </c>
    </row>
    <row r="18" spans="1:24">
      <c r="A18" s="11" t="s">
        <v>379</v>
      </c>
      <c r="B18" s="11" t="s">
        <v>281</v>
      </c>
      <c r="C18" s="11" t="s">
        <v>188</v>
      </c>
      <c r="D18" s="11" t="s">
        <v>196</v>
      </c>
      <c r="E18" s="11" t="s">
        <v>362</v>
      </c>
      <c r="F18" s="11" t="s">
        <v>347</v>
      </c>
      <c r="G18" s="11" t="s">
        <v>352</v>
      </c>
      <c r="H18" s="11"/>
      <c r="I18" s="11" t="s">
        <v>349</v>
      </c>
      <c r="J18" s="11"/>
      <c r="K18" s="21">
        <v>10000</v>
      </c>
      <c r="L18" s="11" t="s">
        <v>123</v>
      </c>
      <c r="M18" s="21">
        <v>-40</v>
      </c>
      <c r="N18" s="11" t="s">
        <v>123</v>
      </c>
      <c r="O18" s="9"/>
      <c r="P18" s="9">
        <v>48485</v>
      </c>
      <c r="Q18" s="9">
        <v>48485</v>
      </c>
      <c r="R18" s="9"/>
      <c r="S18" s="23"/>
      <c r="T18" s="23"/>
      <c r="U18" s="24"/>
      <c r="V18" s="13"/>
      <c r="W18" s="13"/>
      <c r="X18" s="14" t="s">
        <v>363</v>
      </c>
    </row>
    <row r="19" spans="1:24">
      <c r="A19" s="11" t="s">
        <v>380</v>
      </c>
      <c r="B19" s="11" t="s">
        <v>281</v>
      </c>
      <c r="C19" s="11" t="s">
        <v>188</v>
      </c>
      <c r="D19" s="11" t="s">
        <v>217</v>
      </c>
      <c r="E19" s="11" t="s">
        <v>365</v>
      </c>
      <c r="F19" s="11" t="s">
        <v>347</v>
      </c>
      <c r="G19" s="11" t="s">
        <v>348</v>
      </c>
      <c r="H19" s="11"/>
      <c r="I19" s="11" t="s">
        <v>349</v>
      </c>
      <c r="J19" s="11"/>
      <c r="K19" s="21">
        <v>10000</v>
      </c>
      <c r="L19" s="11" t="s">
        <v>123</v>
      </c>
      <c r="M19" s="21">
        <v>0</v>
      </c>
      <c r="N19" s="11" t="s">
        <v>123</v>
      </c>
      <c r="O19" s="9"/>
      <c r="P19" s="9">
        <v>48120</v>
      </c>
      <c r="Q19" s="9">
        <v>48120</v>
      </c>
      <c r="R19" s="9"/>
      <c r="S19" s="23"/>
      <c r="T19" s="23"/>
      <c r="U19" s="24"/>
      <c r="V19" s="13"/>
      <c r="W19" s="13"/>
      <c r="X19" s="14" t="s">
        <v>366</v>
      </c>
    </row>
    <row r="20" spans="1:24">
      <c r="A20" s="11" t="s">
        <v>381</v>
      </c>
      <c r="B20" s="11" t="s">
        <v>283</v>
      </c>
      <c r="C20" s="11" t="s">
        <v>45</v>
      </c>
      <c r="D20" s="11"/>
      <c r="E20" s="11" t="s">
        <v>248</v>
      </c>
      <c r="F20" s="11" t="s">
        <v>347</v>
      </c>
      <c r="G20" s="11" t="s">
        <v>348</v>
      </c>
      <c r="H20" s="11"/>
      <c r="I20" s="11" t="s">
        <v>349</v>
      </c>
      <c r="J20" s="11"/>
      <c r="K20" s="21">
        <v>10000</v>
      </c>
      <c r="L20" s="11" t="s">
        <v>123</v>
      </c>
      <c r="M20" s="21">
        <v>30</v>
      </c>
      <c r="N20" s="11" t="s">
        <v>123</v>
      </c>
      <c r="O20" s="9"/>
      <c r="P20" s="9">
        <v>49945</v>
      </c>
      <c r="Q20" s="9">
        <v>49945</v>
      </c>
      <c r="R20" s="9"/>
      <c r="S20" s="23"/>
      <c r="T20" s="23"/>
      <c r="U20" s="24"/>
      <c r="V20" s="13"/>
      <c r="W20" s="13"/>
      <c r="X20" s="14" t="s">
        <v>350</v>
      </c>
    </row>
    <row r="21" spans="1:24">
      <c r="A21" s="11" t="s">
        <v>382</v>
      </c>
      <c r="B21" s="11" t="s">
        <v>283</v>
      </c>
      <c r="C21" s="11" t="s">
        <v>45</v>
      </c>
      <c r="D21" s="11"/>
      <c r="E21" s="11" t="s">
        <v>248</v>
      </c>
      <c r="F21" s="11" t="s">
        <v>347</v>
      </c>
      <c r="G21" s="11" t="s">
        <v>352</v>
      </c>
      <c r="H21" s="11"/>
      <c r="I21" s="11" t="s">
        <v>349</v>
      </c>
      <c r="J21" s="11"/>
      <c r="K21" s="21">
        <v>10000</v>
      </c>
      <c r="L21" s="11" t="s">
        <v>123</v>
      </c>
      <c r="M21" s="21">
        <v>-20</v>
      </c>
      <c r="N21" s="11" t="s">
        <v>123</v>
      </c>
      <c r="O21" s="9"/>
      <c r="P21" s="9">
        <v>47755</v>
      </c>
      <c r="Q21" s="9">
        <v>47755</v>
      </c>
      <c r="R21" s="9"/>
      <c r="S21" s="23"/>
      <c r="T21" s="23"/>
      <c r="U21" s="24"/>
      <c r="V21" s="13"/>
      <c r="W21" s="13"/>
      <c r="X21" s="14" t="s">
        <v>353</v>
      </c>
    </row>
    <row r="22" spans="1:24">
      <c r="A22" s="11" t="s">
        <v>383</v>
      </c>
      <c r="B22" s="11" t="s">
        <v>283</v>
      </c>
      <c r="C22" s="11" t="s">
        <v>45</v>
      </c>
      <c r="D22" s="11"/>
      <c r="E22" s="11" t="s">
        <v>123</v>
      </c>
      <c r="F22" s="11" t="s">
        <v>355</v>
      </c>
      <c r="G22" s="11" t="s">
        <v>348</v>
      </c>
      <c r="H22" s="11" t="s">
        <v>356</v>
      </c>
      <c r="I22" s="11" t="s">
        <v>349</v>
      </c>
      <c r="J22" s="11"/>
      <c r="K22" s="21">
        <v>5000</v>
      </c>
      <c r="L22" s="11" t="s">
        <v>123</v>
      </c>
      <c r="M22" s="21">
        <v>50</v>
      </c>
      <c r="N22" s="11" t="s">
        <v>123</v>
      </c>
      <c r="O22" s="9">
        <v>46660</v>
      </c>
      <c r="P22" s="9">
        <v>50310</v>
      </c>
      <c r="Q22" s="9">
        <v>50310</v>
      </c>
      <c r="R22" s="9">
        <v>46660</v>
      </c>
      <c r="S22" s="23">
        <v>0.06</v>
      </c>
      <c r="T22" s="23">
        <v>0.05</v>
      </c>
      <c r="U22" s="24"/>
      <c r="V22" s="13"/>
      <c r="W22" s="13"/>
      <c r="X22" s="14" t="s">
        <v>357</v>
      </c>
    </row>
    <row r="23" spans="1:24">
      <c r="A23" s="11" t="s">
        <v>384</v>
      </c>
      <c r="B23" s="11" t="s">
        <v>283</v>
      </c>
      <c r="C23" s="11" t="s">
        <v>51</v>
      </c>
      <c r="D23" s="11" t="s">
        <v>231</v>
      </c>
      <c r="E23" s="11" t="s">
        <v>368</v>
      </c>
      <c r="F23" s="11" t="s">
        <v>347</v>
      </c>
      <c r="G23" s="11" t="s">
        <v>348</v>
      </c>
      <c r="H23" s="11"/>
      <c r="I23" s="11" t="s">
        <v>349</v>
      </c>
      <c r="J23" s="11"/>
      <c r="K23" s="21">
        <v>10000</v>
      </c>
      <c r="L23" s="11" t="s">
        <v>123</v>
      </c>
      <c r="M23" s="21">
        <v>-50</v>
      </c>
      <c r="N23" s="11" t="s">
        <v>123</v>
      </c>
      <c r="O23" s="9"/>
      <c r="P23" s="9"/>
      <c r="Q23" s="9">
        <v>46569</v>
      </c>
      <c r="R23" s="9"/>
      <c r="S23" s="23"/>
      <c r="T23" s="23"/>
      <c r="U23" s="24"/>
      <c r="V23" s="13"/>
      <c r="W23" s="13"/>
      <c r="X23" s="14" t="s">
        <v>369</v>
      </c>
    </row>
    <row r="24" spans="1:24">
      <c r="A24" s="11" t="s">
        <v>385</v>
      </c>
      <c r="B24" s="11" t="s">
        <v>283</v>
      </c>
      <c r="C24" s="11" t="s">
        <v>51</v>
      </c>
      <c r="D24" s="11" t="s">
        <v>231</v>
      </c>
      <c r="E24" s="11" t="s">
        <v>368</v>
      </c>
      <c r="F24" s="11" t="s">
        <v>347</v>
      </c>
      <c r="G24" s="11" t="s">
        <v>352</v>
      </c>
      <c r="H24" s="11"/>
      <c r="I24" s="11" t="s">
        <v>349</v>
      </c>
      <c r="J24" s="11"/>
      <c r="K24" s="21">
        <v>20000</v>
      </c>
      <c r="L24" s="11" t="s">
        <v>123</v>
      </c>
      <c r="M24" s="21">
        <v>-30</v>
      </c>
      <c r="N24" s="11" t="s">
        <v>123</v>
      </c>
      <c r="O24" s="9"/>
      <c r="P24" s="9"/>
      <c r="Q24" s="9">
        <v>47025</v>
      </c>
      <c r="R24" s="9"/>
      <c r="S24" s="23"/>
      <c r="T24" s="23"/>
      <c r="U24" s="24"/>
      <c r="V24" s="13"/>
      <c r="W24" s="13"/>
      <c r="X24" s="14" t="s">
        <v>371</v>
      </c>
    </row>
    <row r="25" spans="1:24">
      <c r="A25" s="11" t="s">
        <v>386</v>
      </c>
      <c r="B25" s="11" t="s">
        <v>283</v>
      </c>
      <c r="C25" s="11" t="s">
        <v>51</v>
      </c>
      <c r="D25" s="11" t="s">
        <v>233</v>
      </c>
      <c r="E25" s="11" t="s">
        <v>373</v>
      </c>
      <c r="F25" s="11" t="s">
        <v>347</v>
      </c>
      <c r="G25" s="11" t="s">
        <v>348</v>
      </c>
      <c r="H25" s="11"/>
      <c r="I25" s="11" t="s">
        <v>349</v>
      </c>
      <c r="J25" s="11"/>
      <c r="K25" s="21">
        <v>10000</v>
      </c>
      <c r="L25" s="11" t="s">
        <v>123</v>
      </c>
      <c r="M25" s="21">
        <v>100</v>
      </c>
      <c r="N25" s="11" t="s">
        <v>123</v>
      </c>
      <c r="O25" s="9"/>
      <c r="P25" s="9"/>
      <c r="Q25" s="9">
        <v>48120</v>
      </c>
      <c r="R25" s="9"/>
      <c r="S25" s="23"/>
      <c r="T25" s="23"/>
      <c r="U25" s="24"/>
      <c r="V25" s="13"/>
      <c r="W25" s="13"/>
      <c r="X25" s="14" t="s">
        <v>374</v>
      </c>
    </row>
    <row r="26" spans="1:24">
      <c r="A26" s="11" t="s">
        <v>387</v>
      </c>
      <c r="B26" s="11" t="s">
        <v>286</v>
      </c>
      <c r="C26" s="11" t="s">
        <v>45</v>
      </c>
      <c r="D26" s="11"/>
      <c r="E26" s="11" t="s">
        <v>248</v>
      </c>
      <c r="F26" s="11" t="s">
        <v>347</v>
      </c>
      <c r="G26" s="11" t="s">
        <v>348</v>
      </c>
      <c r="H26" s="11"/>
      <c r="I26" s="11" t="s">
        <v>349</v>
      </c>
      <c r="J26" s="11"/>
      <c r="K26" s="21">
        <v>10000</v>
      </c>
      <c r="L26" s="11" t="s">
        <v>123</v>
      </c>
      <c r="M26" s="21">
        <v>30</v>
      </c>
      <c r="N26" s="11" t="s">
        <v>123</v>
      </c>
      <c r="O26" s="9"/>
      <c r="P26" s="9">
        <v>49945</v>
      </c>
      <c r="Q26" s="9">
        <v>49945</v>
      </c>
      <c r="R26" s="9"/>
      <c r="S26" s="23"/>
      <c r="T26" s="23"/>
      <c r="U26" s="24"/>
      <c r="V26" s="13"/>
      <c r="W26" s="13"/>
      <c r="X26" s="14" t="s">
        <v>350</v>
      </c>
    </row>
    <row r="27" spans="1:24">
      <c r="A27" s="11" t="s">
        <v>388</v>
      </c>
      <c r="B27" s="11" t="s">
        <v>286</v>
      </c>
      <c r="C27" s="11" t="s">
        <v>45</v>
      </c>
      <c r="D27" s="11"/>
      <c r="E27" s="11" t="s">
        <v>248</v>
      </c>
      <c r="F27" s="11" t="s">
        <v>347</v>
      </c>
      <c r="G27" s="11" t="s">
        <v>352</v>
      </c>
      <c r="H27" s="11"/>
      <c r="I27" s="11" t="s">
        <v>349</v>
      </c>
      <c r="J27" s="11"/>
      <c r="K27" s="21">
        <v>10000</v>
      </c>
      <c r="L27" s="11" t="s">
        <v>123</v>
      </c>
      <c r="M27" s="21">
        <v>-20</v>
      </c>
      <c r="N27" s="11" t="s">
        <v>123</v>
      </c>
      <c r="O27" s="9"/>
      <c r="P27" s="9">
        <v>47755</v>
      </c>
      <c r="Q27" s="9">
        <v>47755</v>
      </c>
      <c r="R27" s="9"/>
      <c r="S27" s="23"/>
      <c r="T27" s="23"/>
      <c r="U27" s="24"/>
      <c r="V27" s="13"/>
      <c r="W27" s="13"/>
      <c r="X27" s="14" t="s">
        <v>353</v>
      </c>
    </row>
    <row r="28" spans="1:24">
      <c r="A28" s="11" t="s">
        <v>389</v>
      </c>
      <c r="B28" s="11" t="s">
        <v>286</v>
      </c>
      <c r="C28" s="11" t="s">
        <v>45</v>
      </c>
      <c r="D28" s="11"/>
      <c r="E28" s="11" t="s">
        <v>123</v>
      </c>
      <c r="F28" s="11" t="s">
        <v>355</v>
      </c>
      <c r="G28" s="11" t="s">
        <v>348</v>
      </c>
      <c r="H28" s="11" t="s">
        <v>356</v>
      </c>
      <c r="I28" s="11" t="s">
        <v>349</v>
      </c>
      <c r="J28" s="11"/>
      <c r="K28" s="21">
        <v>5000</v>
      </c>
      <c r="L28" s="11" t="s">
        <v>123</v>
      </c>
      <c r="M28" s="21">
        <v>50</v>
      </c>
      <c r="N28" s="11" t="s">
        <v>123</v>
      </c>
      <c r="O28" s="9">
        <v>46660</v>
      </c>
      <c r="P28" s="9">
        <v>50310</v>
      </c>
      <c r="Q28" s="9">
        <v>50310</v>
      </c>
      <c r="R28" s="9">
        <v>46660</v>
      </c>
      <c r="S28" s="23">
        <v>0.06</v>
      </c>
      <c r="T28" s="23">
        <v>0.05</v>
      </c>
      <c r="U28" s="24"/>
      <c r="V28" s="13"/>
      <c r="W28" s="13"/>
      <c r="X28" s="14" t="s">
        <v>357</v>
      </c>
    </row>
    <row r="29" spans="1:24">
      <c r="A29" s="11" t="s">
        <v>390</v>
      </c>
      <c r="B29" s="11" t="s">
        <v>286</v>
      </c>
      <c r="C29" s="11" t="s">
        <v>51</v>
      </c>
      <c r="D29" s="11" t="s">
        <v>231</v>
      </c>
      <c r="E29" s="11" t="s">
        <v>368</v>
      </c>
      <c r="F29" s="11" t="s">
        <v>347</v>
      </c>
      <c r="G29" s="11" t="s">
        <v>348</v>
      </c>
      <c r="H29" s="11"/>
      <c r="I29" s="11" t="s">
        <v>349</v>
      </c>
      <c r="J29" s="11"/>
      <c r="K29" s="21">
        <v>10000</v>
      </c>
      <c r="L29" s="11" t="s">
        <v>123</v>
      </c>
      <c r="M29" s="21">
        <v>-50</v>
      </c>
      <c r="N29" s="11" t="s">
        <v>123</v>
      </c>
      <c r="O29" s="9"/>
      <c r="P29" s="9"/>
      <c r="Q29" s="9">
        <v>46569</v>
      </c>
      <c r="R29" s="9"/>
      <c r="S29" s="23"/>
      <c r="T29" s="23"/>
      <c r="U29" s="24"/>
      <c r="V29" s="13"/>
      <c r="W29" s="13"/>
      <c r="X29" s="14" t="s">
        <v>369</v>
      </c>
    </row>
    <row r="30" spans="1:24">
      <c r="A30" s="11" t="s">
        <v>391</v>
      </c>
      <c r="B30" s="11" t="s">
        <v>286</v>
      </c>
      <c r="C30" s="11" t="s">
        <v>51</v>
      </c>
      <c r="D30" s="11" t="s">
        <v>231</v>
      </c>
      <c r="E30" s="11" t="s">
        <v>368</v>
      </c>
      <c r="F30" s="11" t="s">
        <v>347</v>
      </c>
      <c r="G30" s="11" t="s">
        <v>352</v>
      </c>
      <c r="H30" s="11"/>
      <c r="I30" s="11" t="s">
        <v>349</v>
      </c>
      <c r="J30" s="11"/>
      <c r="K30" s="21">
        <v>20000</v>
      </c>
      <c r="L30" s="11" t="s">
        <v>123</v>
      </c>
      <c r="M30" s="21">
        <v>-30</v>
      </c>
      <c r="N30" s="11" t="s">
        <v>123</v>
      </c>
      <c r="O30" s="9"/>
      <c r="P30" s="9"/>
      <c r="Q30" s="9">
        <v>47025</v>
      </c>
      <c r="R30" s="9"/>
      <c r="S30" s="23"/>
      <c r="T30" s="23"/>
      <c r="U30" s="24"/>
      <c r="V30" s="13"/>
      <c r="W30" s="13"/>
      <c r="X30" s="14" t="s">
        <v>371</v>
      </c>
    </row>
    <row r="31" spans="1:24">
      <c r="A31" s="11" t="s">
        <v>392</v>
      </c>
      <c r="B31" s="11" t="s">
        <v>286</v>
      </c>
      <c r="C31" s="11" t="s">
        <v>51</v>
      </c>
      <c r="D31" s="11" t="s">
        <v>233</v>
      </c>
      <c r="E31" s="11" t="s">
        <v>373</v>
      </c>
      <c r="F31" s="11" t="s">
        <v>347</v>
      </c>
      <c r="G31" s="11" t="s">
        <v>348</v>
      </c>
      <c r="H31" s="11"/>
      <c r="I31" s="11" t="s">
        <v>349</v>
      </c>
      <c r="J31" s="11"/>
      <c r="K31" s="21">
        <v>10000</v>
      </c>
      <c r="L31" s="11" t="s">
        <v>123</v>
      </c>
      <c r="M31" s="21">
        <v>100</v>
      </c>
      <c r="N31" s="11" t="s">
        <v>123</v>
      </c>
      <c r="O31" s="9"/>
      <c r="P31" s="9"/>
      <c r="Q31" s="9">
        <v>48120</v>
      </c>
      <c r="R31" s="9"/>
      <c r="S31" s="23"/>
      <c r="T31" s="23"/>
      <c r="U31" s="24"/>
      <c r="V31" s="13"/>
      <c r="W31" s="13"/>
      <c r="X31" s="14" t="s">
        <v>374</v>
      </c>
    </row>
    <row r="32" spans="1:24">
      <c r="A32" s="11" t="s">
        <v>393</v>
      </c>
      <c r="B32" s="11" t="s">
        <v>292</v>
      </c>
      <c r="C32" s="11" t="s">
        <v>45</v>
      </c>
      <c r="D32" s="11"/>
      <c r="E32" s="11" t="s">
        <v>248</v>
      </c>
      <c r="F32" s="11" t="s">
        <v>347</v>
      </c>
      <c r="G32" s="11" t="s">
        <v>348</v>
      </c>
      <c r="H32" s="11"/>
      <c r="I32" s="11" t="s">
        <v>349</v>
      </c>
      <c r="J32" s="11"/>
      <c r="K32" s="21">
        <v>10000</v>
      </c>
      <c r="L32" s="11" t="s">
        <v>123</v>
      </c>
      <c r="M32" s="21">
        <v>30</v>
      </c>
      <c r="N32" s="11" t="s">
        <v>123</v>
      </c>
      <c r="O32" s="9"/>
      <c r="P32" s="9">
        <v>49945</v>
      </c>
      <c r="Q32" s="9">
        <v>49945</v>
      </c>
      <c r="R32" s="9"/>
      <c r="S32" s="23"/>
      <c r="T32" s="23"/>
      <c r="U32" s="24"/>
      <c r="V32" s="13"/>
      <c r="W32" s="13"/>
      <c r="X32" s="14" t="s">
        <v>350</v>
      </c>
    </row>
    <row r="33" spans="1:24">
      <c r="A33" s="11" t="s">
        <v>394</v>
      </c>
      <c r="B33" s="11" t="s">
        <v>292</v>
      </c>
      <c r="C33" s="11" t="s">
        <v>45</v>
      </c>
      <c r="D33" s="11"/>
      <c r="E33" s="11" t="s">
        <v>248</v>
      </c>
      <c r="F33" s="11" t="s">
        <v>347</v>
      </c>
      <c r="G33" s="11" t="s">
        <v>352</v>
      </c>
      <c r="H33" s="11"/>
      <c r="I33" s="11" t="s">
        <v>349</v>
      </c>
      <c r="J33" s="11"/>
      <c r="K33" s="21">
        <v>10000</v>
      </c>
      <c r="L33" s="11" t="s">
        <v>123</v>
      </c>
      <c r="M33" s="21">
        <v>-20</v>
      </c>
      <c r="N33" s="11" t="s">
        <v>123</v>
      </c>
      <c r="O33" s="9"/>
      <c r="P33" s="9">
        <v>47755</v>
      </c>
      <c r="Q33" s="9">
        <v>47755</v>
      </c>
      <c r="R33" s="9"/>
      <c r="S33" s="23"/>
      <c r="T33" s="23"/>
      <c r="U33" s="24"/>
      <c r="V33" s="13"/>
      <c r="W33" s="13"/>
      <c r="X33" s="14" t="s">
        <v>353</v>
      </c>
    </row>
    <row r="34" spans="1:24">
      <c r="A34" s="11" t="s">
        <v>395</v>
      </c>
      <c r="B34" s="11" t="s">
        <v>292</v>
      </c>
      <c r="C34" s="11" t="s">
        <v>45</v>
      </c>
      <c r="D34" s="11"/>
      <c r="E34" s="11" t="s">
        <v>123</v>
      </c>
      <c r="F34" s="11" t="s">
        <v>355</v>
      </c>
      <c r="G34" s="11" t="s">
        <v>348</v>
      </c>
      <c r="H34" s="11" t="s">
        <v>356</v>
      </c>
      <c r="I34" s="11" t="s">
        <v>349</v>
      </c>
      <c r="J34" s="11"/>
      <c r="K34" s="21">
        <v>5000</v>
      </c>
      <c r="L34" s="11" t="s">
        <v>123</v>
      </c>
      <c r="M34" s="21">
        <v>50</v>
      </c>
      <c r="N34" s="11" t="s">
        <v>123</v>
      </c>
      <c r="O34" s="9">
        <v>46660</v>
      </c>
      <c r="P34" s="9">
        <v>50310</v>
      </c>
      <c r="Q34" s="9">
        <v>50310</v>
      </c>
      <c r="R34" s="9">
        <v>46660</v>
      </c>
      <c r="S34" s="23">
        <v>0.01</v>
      </c>
      <c r="T34" s="23">
        <v>0.05</v>
      </c>
      <c r="U34" s="24"/>
      <c r="V34" s="13"/>
      <c r="W34" s="13"/>
      <c r="X34" s="14" t="s">
        <v>396</v>
      </c>
    </row>
    <row r="35" spans="1:24">
      <c r="A35" s="11" t="s">
        <v>397</v>
      </c>
      <c r="B35" s="11" t="s">
        <v>288</v>
      </c>
      <c r="C35" s="11" t="s">
        <v>45</v>
      </c>
      <c r="D35" s="11"/>
      <c r="E35" s="11" t="s">
        <v>123</v>
      </c>
      <c r="F35" s="11" t="s">
        <v>347</v>
      </c>
      <c r="G35" s="11" t="s">
        <v>352</v>
      </c>
      <c r="H35" s="11"/>
      <c r="I35" s="11" t="s">
        <v>349</v>
      </c>
      <c r="J35" s="11"/>
      <c r="K35" s="21">
        <v>5845000000</v>
      </c>
      <c r="L35" s="11" t="s">
        <v>123</v>
      </c>
      <c r="M35" s="21">
        <v>-1100000000</v>
      </c>
      <c r="N35" s="11" t="s">
        <v>123</v>
      </c>
      <c r="O35" s="9"/>
      <c r="P35" s="9">
        <v>49945</v>
      </c>
      <c r="Q35" s="9">
        <v>49945</v>
      </c>
      <c r="R35" s="9"/>
      <c r="S35" s="23"/>
      <c r="T35" s="23"/>
      <c r="U35" s="24"/>
      <c r="V35" s="13"/>
      <c r="W35" s="13"/>
      <c r="X35" s="14" t="s">
        <v>398</v>
      </c>
    </row>
    <row r="36" spans="1:24">
      <c r="A36" s="11" t="s">
        <v>399</v>
      </c>
      <c r="B36" s="11" t="s">
        <v>290</v>
      </c>
      <c r="C36" s="11" t="s">
        <v>45</v>
      </c>
      <c r="D36" s="11"/>
      <c r="E36" s="11" t="s">
        <v>123</v>
      </c>
      <c r="F36" s="11" t="s">
        <v>347</v>
      </c>
      <c r="G36" s="11" t="s">
        <v>352</v>
      </c>
      <c r="H36" s="11"/>
      <c r="I36" s="11" t="s">
        <v>349</v>
      </c>
      <c r="J36" s="11"/>
      <c r="K36" s="21">
        <v>5845000000</v>
      </c>
      <c r="L36" s="11" t="s">
        <v>123</v>
      </c>
      <c r="M36" s="21">
        <v>-1100000000</v>
      </c>
      <c r="N36" s="11" t="s">
        <v>123</v>
      </c>
      <c r="O36" s="9"/>
      <c r="P36" s="9">
        <v>49945</v>
      </c>
      <c r="Q36" s="9">
        <v>49945</v>
      </c>
      <c r="R36" s="9"/>
      <c r="S36" s="23"/>
      <c r="T36" s="23"/>
      <c r="U36" s="24"/>
      <c r="V36" s="13"/>
      <c r="W36" s="13"/>
      <c r="X36" s="14" t="s">
        <v>398</v>
      </c>
    </row>
    <row r="37" spans="1:24">
      <c r="A37" s="11" t="s">
        <v>400</v>
      </c>
      <c r="B37" s="11" t="s">
        <v>294</v>
      </c>
      <c r="C37" s="11" t="s">
        <v>45</v>
      </c>
      <c r="D37" s="11"/>
      <c r="E37" s="11" t="s">
        <v>123</v>
      </c>
      <c r="F37" s="11" t="s">
        <v>355</v>
      </c>
      <c r="G37" s="11" t="s">
        <v>348</v>
      </c>
      <c r="H37" s="11" t="s">
        <v>356</v>
      </c>
      <c r="I37" s="11" t="s">
        <v>349</v>
      </c>
      <c r="J37" s="11"/>
      <c r="K37" s="21">
        <v>10000</v>
      </c>
      <c r="L37" s="11" t="s">
        <v>123</v>
      </c>
      <c r="M37" s="21">
        <v>15</v>
      </c>
      <c r="N37" s="11" t="s">
        <v>123</v>
      </c>
      <c r="O37" s="9">
        <v>46660</v>
      </c>
      <c r="P37" s="9">
        <v>48485</v>
      </c>
      <c r="Q37" s="9">
        <v>48485</v>
      </c>
      <c r="R37" s="9">
        <v>46660</v>
      </c>
      <c r="S37" s="23">
        <v>-0.002</v>
      </c>
      <c r="T37" s="23">
        <v>0.001</v>
      </c>
      <c r="U37" s="24"/>
      <c r="V37" s="13"/>
      <c r="W37" s="13"/>
      <c r="X37" s="14" t="s">
        <v>401</v>
      </c>
    </row>
    <row r="38" spans="1:24">
      <c r="A38" s="11" t="s">
        <v>402</v>
      </c>
      <c r="B38" s="11" t="s">
        <v>296</v>
      </c>
      <c r="C38" s="11" t="s">
        <v>45</v>
      </c>
      <c r="D38" s="11"/>
      <c r="E38" s="11" t="s">
        <v>123</v>
      </c>
      <c r="F38" s="11" t="s">
        <v>355</v>
      </c>
      <c r="G38" s="11" t="s">
        <v>348</v>
      </c>
      <c r="H38" s="11" t="s">
        <v>356</v>
      </c>
      <c r="I38" s="11" t="s">
        <v>349</v>
      </c>
      <c r="J38" s="11"/>
      <c r="K38" s="21">
        <v>10000</v>
      </c>
      <c r="L38" s="11" t="s">
        <v>123</v>
      </c>
      <c r="M38" s="21">
        <v>15</v>
      </c>
      <c r="N38" s="11" t="s">
        <v>123</v>
      </c>
      <c r="O38" s="9">
        <v>46660</v>
      </c>
      <c r="P38" s="9">
        <v>48485</v>
      </c>
      <c r="Q38" s="9">
        <v>48485</v>
      </c>
      <c r="R38" s="9">
        <v>46660</v>
      </c>
      <c r="S38" s="23">
        <v>-0.002</v>
      </c>
      <c r="T38" s="23">
        <v>0.001</v>
      </c>
      <c r="U38" s="24"/>
      <c r="V38" s="13"/>
      <c r="W38" s="13"/>
      <c r="X38" s="14" t="s">
        <v>401</v>
      </c>
    </row>
    <row r="39" spans="1:24">
      <c r="A39" s="11" t="s">
        <v>403</v>
      </c>
      <c r="B39" s="11" t="s">
        <v>298</v>
      </c>
      <c r="C39" s="11" t="s">
        <v>51</v>
      </c>
      <c r="D39" s="11" t="s">
        <v>231</v>
      </c>
      <c r="E39" s="11" t="s">
        <v>404</v>
      </c>
      <c r="F39" s="11" t="s">
        <v>355</v>
      </c>
      <c r="G39" s="11" t="s">
        <v>348</v>
      </c>
      <c r="H39" s="11" t="s">
        <v>405</v>
      </c>
      <c r="I39" s="11" t="s">
        <v>349</v>
      </c>
      <c r="J39" s="11"/>
      <c r="K39" s="21">
        <v>10000</v>
      </c>
      <c r="L39" s="11" t="s">
        <v>123</v>
      </c>
      <c r="M39" s="21">
        <v>40</v>
      </c>
      <c r="N39" s="11" t="s">
        <v>123</v>
      </c>
      <c r="O39" s="9"/>
      <c r="P39" s="9"/>
      <c r="Q39" s="9">
        <v>46477</v>
      </c>
      <c r="R39" s="9">
        <v>46477</v>
      </c>
      <c r="S39" s="23">
        <v>-5</v>
      </c>
      <c r="T39" s="23">
        <v>-4</v>
      </c>
      <c r="U39" s="24"/>
      <c r="V39" s="13"/>
      <c r="W39" s="13"/>
      <c r="X39" s="14" t="s">
        <v>406</v>
      </c>
    </row>
    <row r="40" spans="1:24">
      <c r="A40" s="11" t="s">
        <v>407</v>
      </c>
      <c r="B40" s="11" t="s">
        <v>300</v>
      </c>
      <c r="C40" s="11" t="s">
        <v>241</v>
      </c>
      <c r="D40" s="11"/>
      <c r="E40" s="11" t="s">
        <v>408</v>
      </c>
      <c r="F40" s="11" t="s">
        <v>347</v>
      </c>
      <c r="G40" s="11" t="s">
        <v>348</v>
      </c>
      <c r="H40" s="11"/>
      <c r="I40" s="11" t="s">
        <v>349</v>
      </c>
      <c r="J40" s="11"/>
      <c r="K40" s="21">
        <v>10000</v>
      </c>
      <c r="L40" s="11" t="s">
        <v>123</v>
      </c>
      <c r="M40" s="21">
        <v>0</v>
      </c>
      <c r="N40" s="11" t="s">
        <v>123</v>
      </c>
      <c r="O40" s="9"/>
      <c r="P40" s="9"/>
      <c r="Q40" s="9">
        <v>47025</v>
      </c>
      <c r="R40" s="9"/>
      <c r="S40" s="23"/>
      <c r="T40" s="23"/>
      <c r="U40" s="24"/>
      <c r="V40" s="13"/>
      <c r="W40" s="13"/>
      <c r="X40" s="14" t="s">
        <v>409</v>
      </c>
    </row>
    <row r="41" spans="1:24">
      <c r="A41" s="11" t="s">
        <v>410</v>
      </c>
      <c r="B41" s="11" t="s">
        <v>300</v>
      </c>
      <c r="C41" s="11" t="s">
        <v>241</v>
      </c>
      <c r="D41" s="11"/>
      <c r="E41" s="11" t="s">
        <v>408</v>
      </c>
      <c r="F41" s="11" t="s">
        <v>347</v>
      </c>
      <c r="G41" s="11" t="s">
        <v>352</v>
      </c>
      <c r="H41" s="11"/>
      <c r="I41" s="11" t="s">
        <v>349</v>
      </c>
      <c r="J41" s="11"/>
      <c r="K41" s="21">
        <v>4000</v>
      </c>
      <c r="L41" s="11" t="s">
        <v>123</v>
      </c>
      <c r="M41" s="21">
        <v>0</v>
      </c>
      <c r="N41" s="11" t="s">
        <v>123</v>
      </c>
      <c r="O41" s="9"/>
      <c r="P41" s="9"/>
      <c r="Q41" s="9">
        <v>47390</v>
      </c>
      <c r="R41" s="9"/>
      <c r="S41" s="23"/>
      <c r="T41" s="23"/>
      <c r="U41" s="24"/>
      <c r="V41" s="13"/>
      <c r="W41" s="13"/>
      <c r="X41" s="14" t="s">
        <v>411</v>
      </c>
    </row>
    <row r="42" spans="1:24">
      <c r="A42" s="11" t="s">
        <v>412</v>
      </c>
      <c r="B42" s="11" t="s">
        <v>300</v>
      </c>
      <c r="C42" s="11" t="s">
        <v>241</v>
      </c>
      <c r="D42" s="11"/>
      <c r="E42" s="11" t="s">
        <v>413</v>
      </c>
      <c r="F42" s="11" t="s">
        <v>347</v>
      </c>
      <c r="G42" s="11" t="s">
        <v>348</v>
      </c>
      <c r="H42" s="11"/>
      <c r="I42" s="11" t="s">
        <v>349</v>
      </c>
      <c r="J42" s="11"/>
      <c r="K42" s="21">
        <v>5000</v>
      </c>
      <c r="L42" s="11" t="s">
        <v>123</v>
      </c>
      <c r="M42" s="21">
        <v>0</v>
      </c>
      <c r="N42" s="11" t="s">
        <v>123</v>
      </c>
      <c r="O42" s="9"/>
      <c r="P42" s="9"/>
      <c r="Q42" s="9">
        <v>46843</v>
      </c>
      <c r="R42" s="9"/>
      <c r="S42" s="23"/>
      <c r="T42" s="23"/>
      <c r="U42" s="24"/>
      <c r="V42" s="13"/>
      <c r="W42" s="13"/>
      <c r="X42" s="14" t="s">
        <v>414</v>
      </c>
    </row>
    <row r="43" spans="1:24">
      <c r="A43" s="11" t="s">
        <v>415</v>
      </c>
      <c r="B43" s="11" t="inlineStr">
        <is>
          <t>DEMO-REJECTED</t>
        </is>
      </c>
      <c r="C43" s="11" t="s">
        <v>241</v>
      </c>
      <c r="D43" s="11"/>
      <c r="E43" s="11" t="s">
        <v>408</v>
      </c>
      <c r="F43" s="11" t="s">
        <v>347</v>
      </c>
      <c r="G43" s="11" t="s">
        <v>348</v>
      </c>
      <c r="H43" s="11"/>
      <c r="I43" s="11" t="s">
        <v>349</v>
      </c>
      <c r="J43" s="11"/>
      <c r="K43" s="21">
        <v>10000</v>
      </c>
      <c r="L43" s="11" t="s">
        <v>123</v>
      </c>
      <c r="M43" s="21">
        <v>0</v>
      </c>
      <c r="N43" s="11" t="s">
        <v>123</v>
      </c>
      <c r="O43" s="9"/>
      <c r="P43" s="9"/>
      <c r="Q43" s="9">
        <v>47025</v>
      </c>
      <c r="R43" s="9"/>
      <c r="S43" s="23"/>
      <c r="T43" s="23"/>
      <c r="U43" s="24"/>
      <c r="V43" s="13"/>
      <c r="W43" s="13"/>
      <c r="X43" s="14" t="s">
        <v>416</v>
      </c>
    </row>
    <row r="44" spans="1:24">
      <c r="A44" s="11" t="s">
        <v>417</v>
      </c>
      <c r="B44" s="11" t="s">
        <v>302</v>
      </c>
      <c r="C44" s="11" t="s">
        <v>51</v>
      </c>
      <c r="D44" s="11" t="s">
        <v>239</v>
      </c>
      <c r="E44" s="11" t="s">
        <v>418</v>
      </c>
      <c r="F44" s="11" t="s">
        <v>347</v>
      </c>
      <c r="G44" s="11" t="s">
        <v>348</v>
      </c>
      <c r="H44" s="11"/>
      <c r="I44" s="11" t="s">
        <v>349</v>
      </c>
      <c r="J44" s="11"/>
      <c r="K44" s="21">
        <v>1000</v>
      </c>
      <c r="L44" s="11" t="s">
        <v>123</v>
      </c>
      <c r="M44" s="21">
        <v>5</v>
      </c>
      <c r="N44" s="11" t="s">
        <v>123</v>
      </c>
      <c r="O44" s="9"/>
      <c r="P44" s="9"/>
      <c r="Q44" s="9">
        <v>46477</v>
      </c>
      <c r="R44" s="9"/>
      <c r="S44" s="23"/>
      <c r="T44" s="23"/>
      <c r="U44" s="24"/>
      <c r="V44" s="13"/>
      <c r="W44" s="13"/>
      <c r="X44" s="14" t="s">
        <v>419</v>
      </c>
    </row>
    <row r="45" spans="1:24">
      <c r="A45" s="11" t="s">
        <v>420</v>
      </c>
      <c r="B45" s="11" t="s">
        <v>304</v>
      </c>
      <c r="C45" s="11" t="s">
        <v>45</v>
      </c>
      <c r="D45" s="11"/>
      <c r="E45" s="11" t="s">
        <v>123</v>
      </c>
      <c r="F45" s="11" t="s">
        <v>347</v>
      </c>
      <c r="G45" s="11" t="s">
        <v>348</v>
      </c>
      <c r="H45" s="11"/>
      <c r="I45" s="11" t="s">
        <v>349</v>
      </c>
      <c r="J45" s="11"/>
      <c r="K45" s="21">
        <v>50000000</v>
      </c>
      <c r="L45" s="11" t="s">
        <v>123</v>
      </c>
      <c r="M45" s="21">
        <v>820000</v>
      </c>
      <c r="N45" s="11" t="s">
        <v>123</v>
      </c>
      <c r="O45" s="9"/>
      <c r="P45" s="9">
        <v>48850</v>
      </c>
      <c r="Q45" s="9">
        <v>48850</v>
      </c>
      <c r="R45" s="9"/>
      <c r="S45" s="23"/>
      <c r="T45" s="23"/>
      <c r="U45" s="24"/>
      <c r="V45" s="13"/>
      <c r="W45" s="13"/>
      <c r="X45" s="14" t="s">
        <v>421</v>
      </c>
    </row>
    <row r="46" spans="1:24">
      <c r="A46" s="11" t="s">
        <v>422</v>
      </c>
      <c r="B46" s="11" t="s">
        <v>304</v>
      </c>
      <c r="C46" s="11" t="s">
        <v>45</v>
      </c>
      <c r="D46" s="11"/>
      <c r="E46" s="11" t="s">
        <v>123</v>
      </c>
      <c r="F46" s="11" t="s">
        <v>347</v>
      </c>
      <c r="G46" s="11" t="s">
        <v>352</v>
      </c>
      <c r="H46" s="11"/>
      <c r="I46" s="11" t="s">
        <v>349</v>
      </c>
      <c r="J46" s="11"/>
      <c r="K46" s="21">
        <v>30000000</v>
      </c>
      <c r="L46" s="11" t="s">
        <v>123</v>
      </c>
      <c r="M46" s="21">
        <v>-210000</v>
      </c>
      <c r="N46" s="11" t="s">
        <v>123</v>
      </c>
      <c r="O46" s="9"/>
      <c r="P46" s="9">
        <v>47025</v>
      </c>
      <c r="Q46" s="9">
        <v>47025</v>
      </c>
      <c r="R46" s="9"/>
      <c r="S46" s="23"/>
      <c r="T46" s="23"/>
      <c r="U46" s="24"/>
      <c r="V46" s="13"/>
      <c r="W46" s="13"/>
      <c r="X46" s="14" t="s">
        <v>423</v>
      </c>
    </row>
    <row r="47" spans="1:24">
      <c r="A47" s="11" t="s">
        <v>424</v>
      </c>
      <c r="B47" s="11" t="s">
        <v>304</v>
      </c>
      <c r="C47" s="11" t="s">
        <v>45</v>
      </c>
      <c r="D47" s="11"/>
      <c r="E47" s="11" t="s">
        <v>248</v>
      </c>
      <c r="F47" s="11" t="s">
        <v>347</v>
      </c>
      <c r="G47" s="11" t="s">
        <v>352</v>
      </c>
      <c r="H47" s="11"/>
      <c r="I47" s="11" t="s">
        <v>349</v>
      </c>
      <c r="J47" s="11"/>
      <c r="K47" s="21">
        <v>40000000</v>
      </c>
      <c r="L47" s="11" t="s">
        <v>248</v>
      </c>
      <c r="M47" s="21">
        <v>-1150000</v>
      </c>
      <c r="N47" s="11" t="s">
        <v>248</v>
      </c>
      <c r="O47" s="9"/>
      <c r="P47" s="9">
        <v>50675</v>
      </c>
      <c r="Q47" s="9">
        <v>50675</v>
      </c>
      <c r="R47" s="9"/>
      <c r="S47" s="23"/>
      <c r="T47" s="23"/>
      <c r="U47" s="24"/>
      <c r="V47" s="13"/>
      <c r="W47" s="13"/>
      <c r="X47" s="14" t="s">
        <v>425</v>
      </c>
    </row>
    <row r="48" spans="1:24">
      <c r="A48" s="11" t="s">
        <v>426</v>
      </c>
      <c r="B48" s="11" t="s">
        <v>304</v>
      </c>
      <c r="C48" s="11" t="s">
        <v>45</v>
      </c>
      <c r="D48" s="11"/>
      <c r="E48" s="11" t="s">
        <v>123</v>
      </c>
      <c r="F48" s="11" t="s">
        <v>347</v>
      </c>
      <c r="G48" s="11" t="s">
        <v>348</v>
      </c>
      <c r="H48" s="11"/>
      <c r="I48" s="11" t="s">
        <v>427</v>
      </c>
      <c r="J48" s="11" t="s">
        <v>428</v>
      </c>
      <c r="K48" s="21">
        <v>25000000</v>
      </c>
      <c r="L48" s="11" t="s">
        <v>123</v>
      </c>
      <c r="M48" s="21">
        <v>45000</v>
      </c>
      <c r="N48" s="11" t="s">
        <v>123</v>
      </c>
      <c r="O48" s="9"/>
      <c r="P48" s="9">
        <v>48120</v>
      </c>
      <c r="Q48" s="9">
        <v>48120</v>
      </c>
      <c r="R48" s="9"/>
      <c r="S48" s="23"/>
      <c r="T48" s="23"/>
      <c r="U48" s="24"/>
      <c r="V48" s="13"/>
      <c r="W48" s="13"/>
      <c r="X48" s="14" t="s">
        <v>429</v>
      </c>
    </row>
    <row r="49" spans="1:24">
      <c r="A49" s="11" t="s">
        <v>430</v>
      </c>
      <c r="B49" s="11" t="s">
        <v>304</v>
      </c>
      <c r="C49" s="11" t="s">
        <v>45</v>
      </c>
      <c r="D49" s="11"/>
      <c r="E49" s="11" t="s">
        <v>123</v>
      </c>
      <c r="F49" s="11" t="s">
        <v>355</v>
      </c>
      <c r="G49" s="11" t="s">
        <v>348</v>
      </c>
      <c r="H49" s="11" t="s">
        <v>405</v>
      </c>
      <c r="I49" s="11" t="s">
        <v>349</v>
      </c>
      <c r="J49" s="11"/>
      <c r="K49" s="21">
        <v>20000000</v>
      </c>
      <c r="L49" s="11" t="s">
        <v>123</v>
      </c>
      <c r="M49" s="21">
        <v>310000</v>
      </c>
      <c r="N49" s="11" t="s">
        <v>123</v>
      </c>
      <c r="O49" s="9">
        <v>47025</v>
      </c>
      <c r="P49" s="9">
        <v>48850</v>
      </c>
      <c r="Q49" s="9">
        <v>48850</v>
      </c>
      <c r="R49" s="9">
        <v>47025</v>
      </c>
      <c r="S49" s="23">
        <v>0.026</v>
      </c>
      <c r="T49" s="23">
        <v>0.03</v>
      </c>
      <c r="U49" s="24"/>
      <c r="V49" s="13"/>
      <c r="W49" s="13"/>
      <c r="X49" s="14" t="s">
        <v>431</v>
      </c>
    </row>
    <row r="50" spans="1:24">
      <c r="A50" s="11" t="s">
        <v>432</v>
      </c>
      <c r="B50" s="11" t="s">
        <v>304</v>
      </c>
      <c r="C50" s="11" t="s">
        <v>45</v>
      </c>
      <c r="D50" s="11"/>
      <c r="E50" s="11" t="s">
        <v>123</v>
      </c>
      <c r="F50" s="11" t="s">
        <v>347</v>
      </c>
      <c r="G50" s="11" t="s">
        <v>352</v>
      </c>
      <c r="H50" s="11"/>
      <c r="I50" s="11" t="s">
        <v>349</v>
      </c>
      <c r="J50" s="11"/>
      <c r="K50" s="21">
        <v>15000000</v>
      </c>
      <c r="L50" s="11" t="s">
        <v>123</v>
      </c>
      <c r="M50" s="21">
        <v>-60000</v>
      </c>
      <c r="N50" s="11" t="s">
        <v>123</v>
      </c>
      <c r="O50" s="9">
        <v>46660</v>
      </c>
      <c r="P50" s="9">
        <v>47755</v>
      </c>
      <c r="Q50" s="9">
        <v>47755</v>
      </c>
      <c r="R50" s="9"/>
      <c r="S50" s="23"/>
      <c r="T50" s="23"/>
      <c r="U50" s="24"/>
      <c r="V50" s="13"/>
      <c r="W50" s="13"/>
      <c r="X50" s="14" t="s">
        <v>433</v>
      </c>
    </row>
    <row r="51" spans="1:24">
      <c r="A51" s="11" t="s">
        <v>434</v>
      </c>
      <c r="B51" s="11" t="s">
        <v>304</v>
      </c>
      <c r="C51" s="11" t="s">
        <v>47</v>
      </c>
      <c r="D51" s="11"/>
      <c r="E51" s="11" t="s">
        <v>435</v>
      </c>
      <c r="F51" s="11" t="s">
        <v>347</v>
      </c>
      <c r="G51" s="11" t="s">
        <v>352</v>
      </c>
      <c r="H51" s="11"/>
      <c r="I51" s="11" t="s">
        <v>349</v>
      </c>
      <c r="J51" s="11"/>
      <c r="K51" s="21">
        <v>25000000</v>
      </c>
      <c r="L51" s="11" t="s">
        <v>248</v>
      </c>
      <c r="M51" s="21">
        <v>-320000</v>
      </c>
      <c r="N51" s="11" t="s">
        <v>123</v>
      </c>
      <c r="O51" s="9"/>
      <c r="P51" s="9"/>
      <c r="Q51" s="9">
        <v>46660</v>
      </c>
      <c r="R51" s="9"/>
      <c r="S51" s="23"/>
      <c r="T51" s="23"/>
      <c r="U51" s="24"/>
      <c r="V51" s="13"/>
      <c r="W51" s="13"/>
      <c r="X51" s="14" t="s">
        <v>436</v>
      </c>
    </row>
    <row r="52" spans="1:24">
      <c r="A52" s="11" t="s">
        <v>437</v>
      </c>
      <c r="B52" s="11" t="s">
        <v>304</v>
      </c>
      <c r="C52" s="11" t="s">
        <v>47</v>
      </c>
      <c r="D52" s="11"/>
      <c r="E52" s="11" t="s">
        <v>438</v>
      </c>
      <c r="F52" s="11" t="s">
        <v>355</v>
      </c>
      <c r="G52" s="11" t="s">
        <v>348</v>
      </c>
      <c r="H52" s="11" t="s">
        <v>405</v>
      </c>
      <c r="I52" s="11" t="s">
        <v>349</v>
      </c>
      <c r="J52" s="11"/>
      <c r="K52" s="21">
        <v>10000000</v>
      </c>
      <c r="L52" s="11" t="s">
        <v>248</v>
      </c>
      <c r="M52" s="21">
        <v>140000</v>
      </c>
      <c r="N52" s="11" t="s">
        <v>123</v>
      </c>
      <c r="O52" s="9"/>
      <c r="P52" s="9"/>
      <c r="Q52" s="9">
        <v>46477</v>
      </c>
      <c r="R52" s="9">
        <v>46477</v>
      </c>
      <c r="S52" s="23">
        <v>148.5</v>
      </c>
      <c r="T52" s="23">
        <v>150</v>
      </c>
      <c r="U52" s="24"/>
      <c r="V52" s="13"/>
      <c r="W52" s="13"/>
      <c r="X52" s="14" t="s">
        <v>439</v>
      </c>
    </row>
    <row r="53" spans="1:24">
      <c r="A53" s="11" t="s">
        <v>440</v>
      </c>
      <c r="B53" s="11" t="s">
        <v>304</v>
      </c>
      <c r="C53" s="11" t="s">
        <v>47</v>
      </c>
      <c r="D53" s="11"/>
      <c r="E53" s="11" t="s">
        <v>441</v>
      </c>
      <c r="F53" s="11" t="s">
        <v>347</v>
      </c>
      <c r="G53" s="11" t="s">
        <v>348</v>
      </c>
      <c r="H53" s="11"/>
      <c r="I53" s="11" t="s">
        <v>349</v>
      </c>
      <c r="J53" s="11"/>
      <c r="K53" s="21">
        <v>15000000</v>
      </c>
      <c r="L53" s="11" t="s">
        <v>250</v>
      </c>
      <c r="M53" s="21">
        <v>95000</v>
      </c>
      <c r="N53" s="11" t="s">
        <v>123</v>
      </c>
      <c r="O53" s="9"/>
      <c r="P53" s="9"/>
      <c r="Q53" s="9">
        <v>46477</v>
      </c>
      <c r="R53" s="9"/>
      <c r="S53" s="23"/>
      <c r="T53" s="23"/>
      <c r="U53" s="24"/>
      <c r="V53" s="13"/>
      <c r="W53" s="13"/>
      <c r="X53" s="14" t="s">
        <v>442</v>
      </c>
    </row>
    <row r="54" spans="1:24">
      <c r="A54" s="11" t="s">
        <v>443</v>
      </c>
      <c r="B54" s="11" t="s">
        <v>304</v>
      </c>
      <c r="C54" s="11" t="s">
        <v>45</v>
      </c>
      <c r="D54" s="11"/>
      <c r="E54" s="11" t="s">
        <v>250</v>
      </c>
      <c r="F54" s="11" t="s">
        <v>347</v>
      </c>
      <c r="G54" s="11" t="s">
        <v>348</v>
      </c>
      <c r="H54" s="11"/>
      <c r="I54" s="11" t="s">
        <v>349</v>
      </c>
      <c r="J54" s="11"/>
      <c r="K54" s="21">
        <v>20000000</v>
      </c>
      <c r="L54" s="11" t="s">
        <v>250</v>
      </c>
      <c r="M54" s="21">
        <v>12000</v>
      </c>
      <c r="N54" s="11" t="s">
        <v>250</v>
      </c>
      <c r="O54" s="9"/>
      <c r="P54" s="9">
        <v>46569</v>
      </c>
      <c r="Q54" s="9">
        <v>46569</v>
      </c>
      <c r="R54" s="9"/>
      <c r="S54" s="23"/>
      <c r="T54" s="23"/>
      <c r="U54" s="24"/>
      <c r="V54" s="13"/>
      <c r="W54" s="13"/>
      <c r="X54" s="14" t="s">
        <v>444</v>
      </c>
    </row>
    <row r="55" spans="1:24">
      <c r="A55" s="11" t="s">
        <v>445</v>
      </c>
      <c r="B55" s="11" t="inlineStr">
        <is>
          <t>DEMO-REJECTED</t>
        </is>
      </c>
      <c r="C55" s="11" t="s">
        <v>45</v>
      </c>
      <c r="D55" s="11"/>
      <c r="E55" s="11" t="s">
        <v>123</v>
      </c>
      <c r="F55" s="11" t="s">
        <v>347</v>
      </c>
      <c r="G55" s="11" t="s">
        <v>348</v>
      </c>
      <c r="H55" s="11"/>
      <c r="I55" s="11" t="s">
        <v>349</v>
      </c>
      <c r="J55" s="11"/>
      <c r="K55" s="21">
        <v>5000000</v>
      </c>
      <c r="L55" s="11" t="s">
        <v>123</v>
      </c>
      <c r="M55" s="21">
        <v>0</v>
      </c>
      <c r="N55" s="11" t="s">
        <v>123</v>
      </c>
      <c r="O55" s="9"/>
      <c r="P55" s="9">
        <v>46265</v>
      </c>
      <c r="Q55" s="9">
        <v>46265</v>
      </c>
      <c r="R55" s="9"/>
      <c r="S55" s="23"/>
      <c r="T55" s="23"/>
      <c r="U55" s="24"/>
      <c r="V55" s="13"/>
      <c r="W55" s="13"/>
      <c r="X55" s="14" t="s">
        <v>446</v>
      </c>
    </row>
    <row r="56" spans="1:24">
      <c r="A56" s="11" t="s">
        <v>447</v>
      </c>
      <c r="B56" s="11" t="s">
        <v>306</v>
      </c>
      <c r="C56" s="11" t="s">
        <v>188</v>
      </c>
      <c r="D56" s="11" t="s">
        <v>196</v>
      </c>
      <c r="E56" s="11" t="s">
        <v>448</v>
      </c>
      <c r="F56" s="11" t="s">
        <v>347</v>
      </c>
      <c r="G56" s="11" t="s">
        <v>348</v>
      </c>
      <c r="H56" s="11"/>
      <c r="I56" s="11" t="s">
        <v>349</v>
      </c>
      <c r="J56" s="11"/>
      <c r="K56" s="21">
        <v>10000000</v>
      </c>
      <c r="L56" s="11" t="s">
        <v>123</v>
      </c>
      <c r="M56" s="21">
        <v>-95000</v>
      </c>
      <c r="N56" s="11" t="s">
        <v>123</v>
      </c>
      <c r="O56" s="9"/>
      <c r="P56" s="9">
        <v>48120</v>
      </c>
      <c r="Q56" s="9">
        <v>48120</v>
      </c>
      <c r="R56" s="9"/>
      <c r="S56" s="23"/>
      <c r="T56" s="23"/>
      <c r="U56" s="24"/>
      <c r="V56" s="13"/>
      <c r="W56" s="13"/>
      <c r="X56" s="14" t="s">
        <v>449</v>
      </c>
    </row>
    <row r="57" spans="1:24">
      <c r="A57" s="11" t="s">
        <v>450</v>
      </c>
      <c r="B57" s="11" t="s">
        <v>306</v>
      </c>
      <c r="C57" s="11" t="s">
        <v>188</v>
      </c>
      <c r="D57" s="11" t="s">
        <v>196</v>
      </c>
      <c r="E57" s="11" t="s">
        <v>448</v>
      </c>
      <c r="F57" s="11" t="s">
        <v>347</v>
      </c>
      <c r="G57" s="11" t="s">
        <v>352</v>
      </c>
      <c r="H57" s="11"/>
      <c r="I57" s="11" t="s">
        <v>349</v>
      </c>
      <c r="J57" s="11"/>
      <c r="K57" s="21">
        <v>5000000</v>
      </c>
      <c r="L57" s="11" t="s">
        <v>123</v>
      </c>
      <c r="M57" s="21">
        <v>40000</v>
      </c>
      <c r="N57" s="11" t="s">
        <v>123</v>
      </c>
      <c r="O57" s="9"/>
      <c r="P57" s="9">
        <v>47390</v>
      </c>
      <c r="Q57" s="9">
        <v>47390</v>
      </c>
      <c r="R57" s="9"/>
      <c r="S57" s="23"/>
      <c r="T57" s="23"/>
      <c r="U57" s="24"/>
      <c r="V57" s="13"/>
      <c r="W57" s="13"/>
      <c r="X57" s="14" t="s">
        <v>451</v>
      </c>
    </row>
    <row r="58" spans="1:24">
      <c r="A58" s="11" t="s">
        <v>452</v>
      </c>
      <c r="B58" s="11" t="s">
        <v>306</v>
      </c>
      <c r="C58" s="11" t="s">
        <v>188</v>
      </c>
      <c r="D58" s="11" t="s">
        <v>207</v>
      </c>
      <c r="E58" s="11" t="s">
        <v>453</v>
      </c>
      <c r="F58" s="11" t="s">
        <v>347</v>
      </c>
      <c r="G58" s="11" t="s">
        <v>352</v>
      </c>
      <c r="H58" s="11"/>
      <c r="I58" s="11" t="s">
        <v>349</v>
      </c>
      <c r="J58" s="11"/>
      <c r="K58" s="21">
        <v>8000000</v>
      </c>
      <c r="L58" s="11" t="s">
        <v>123</v>
      </c>
      <c r="M58" s="21">
        <v>120000</v>
      </c>
      <c r="N58" s="11" t="s">
        <v>123</v>
      </c>
      <c r="O58" s="9"/>
      <c r="P58" s="9">
        <v>47755</v>
      </c>
      <c r="Q58" s="9">
        <v>47755</v>
      </c>
      <c r="R58" s="9"/>
      <c r="S58" s="23"/>
      <c r="T58" s="23"/>
      <c r="U58" s="24"/>
      <c r="V58" s="13"/>
      <c r="W58" s="13"/>
      <c r="X58" s="14" t="s">
        <v>454</v>
      </c>
    </row>
    <row r="59" spans="1:24">
      <c r="A59" s="11" t="s">
        <v>455</v>
      </c>
      <c r="B59" s="11" t="s">
        <v>306</v>
      </c>
      <c r="C59" s="11" t="s">
        <v>188</v>
      </c>
      <c r="D59" s="11" t="s">
        <v>217</v>
      </c>
      <c r="E59" s="11" t="s">
        <v>456</v>
      </c>
      <c r="F59" s="11" t="s">
        <v>347</v>
      </c>
      <c r="G59" s="11" t="s">
        <v>348</v>
      </c>
      <c r="H59" s="11"/>
      <c r="I59" s="11" t="s">
        <v>349</v>
      </c>
      <c r="J59" s="11"/>
      <c r="K59" s="21">
        <v>25000000</v>
      </c>
      <c r="L59" s="11" t="s">
        <v>123</v>
      </c>
      <c r="M59" s="21">
        <v>-210000</v>
      </c>
      <c r="N59" s="11" t="s">
        <v>123</v>
      </c>
      <c r="O59" s="9"/>
      <c r="P59" s="9">
        <v>48120</v>
      </c>
      <c r="Q59" s="9">
        <v>48120</v>
      </c>
      <c r="R59" s="9"/>
      <c r="S59" s="23"/>
      <c r="T59" s="23"/>
      <c r="U59" s="24"/>
      <c r="V59" s="13"/>
      <c r="W59" s="13"/>
      <c r="X59" s="14" t="s">
        <v>457</v>
      </c>
    </row>
    <row r="60" spans="1:24">
      <c r="A60" s="11" t="s">
        <v>458</v>
      </c>
      <c r="B60" s="11" t="s">
        <v>306</v>
      </c>
      <c r="C60" s="11" t="s">
        <v>188</v>
      </c>
      <c r="D60" s="11" t="s">
        <v>217</v>
      </c>
      <c r="E60" s="11" t="s">
        <v>459</v>
      </c>
      <c r="F60" s="11" t="s">
        <v>345</v>
      </c>
      <c r="G60" s="11" t="s">
        <v>352</v>
      </c>
      <c r="H60" s="11"/>
      <c r="I60" s="11" t="s">
        <v>349</v>
      </c>
      <c r="J60" s="11"/>
      <c r="K60" s="21">
        <v>5000000</v>
      </c>
      <c r="L60" s="11" t="s">
        <v>123</v>
      </c>
      <c r="M60" s="21">
        <v>85000</v>
      </c>
      <c r="N60" s="11" t="s">
        <v>123</v>
      </c>
      <c r="O60" s="9"/>
      <c r="P60" s="9">
        <v>48120</v>
      </c>
      <c r="Q60" s="9">
        <v>48120</v>
      </c>
      <c r="R60" s="9"/>
      <c r="S60" s="23"/>
      <c r="T60" s="23"/>
      <c r="U60" s="24"/>
      <c r="V60" s="13">
        <v>0.03</v>
      </c>
      <c r="W60" s="13">
        <v>0.06</v>
      </c>
      <c r="X60" s="14" t="s">
        <v>460</v>
      </c>
    </row>
    <row r="61" spans="1:24">
      <c r="A61" s="11" t="s">
        <v>461</v>
      </c>
      <c r="B61" s="11" t="s">
        <v>306</v>
      </c>
      <c r="C61" s="11" t="s">
        <v>222</v>
      </c>
      <c r="D61" s="11" t="s">
        <v>223</v>
      </c>
      <c r="E61" s="11" t="s">
        <v>462</v>
      </c>
      <c r="F61" s="11" t="s">
        <v>347</v>
      </c>
      <c r="G61" s="11" t="s">
        <v>348</v>
      </c>
      <c r="H61" s="11"/>
      <c r="I61" s="11" t="s">
        <v>349</v>
      </c>
      <c r="J61" s="11"/>
      <c r="K61" s="21">
        <v>8000000</v>
      </c>
      <c r="L61" s="11" t="s">
        <v>123</v>
      </c>
      <c r="M61" s="21">
        <v>310000</v>
      </c>
      <c r="N61" s="11" t="s">
        <v>123</v>
      </c>
      <c r="O61" s="9"/>
      <c r="P61" s="9"/>
      <c r="Q61" s="9">
        <v>46660</v>
      </c>
      <c r="R61" s="9"/>
      <c r="S61" s="23"/>
      <c r="T61" s="23"/>
      <c r="U61" s="24"/>
      <c r="V61" s="13"/>
      <c r="W61" s="13"/>
      <c r="X61" s="14" t="s">
        <v>463</v>
      </c>
    </row>
    <row r="62" spans="1:24">
      <c r="A62" s="11" t="s">
        <v>464</v>
      </c>
      <c r="B62" s="11" t="s">
        <v>306</v>
      </c>
      <c r="C62" s="11" t="s">
        <v>222</v>
      </c>
      <c r="D62" s="11" t="s">
        <v>226</v>
      </c>
      <c r="E62" s="11" t="s">
        <v>465</v>
      </c>
      <c r="F62" s="11" t="s">
        <v>355</v>
      </c>
      <c r="G62" s="11" t="s">
        <v>352</v>
      </c>
      <c r="H62" s="11" t="s">
        <v>356</v>
      </c>
      <c r="I62" s="11" t="s">
        <v>349</v>
      </c>
      <c r="J62" s="11"/>
      <c r="K62" s="21">
        <v>10000000</v>
      </c>
      <c r="L62" s="11" t="s">
        <v>123</v>
      </c>
      <c r="M62" s="21">
        <v>-150000</v>
      </c>
      <c r="N62" s="11" t="s">
        <v>123</v>
      </c>
      <c r="O62" s="9"/>
      <c r="P62" s="9"/>
      <c r="Q62" s="9">
        <v>46477</v>
      </c>
      <c r="R62" s="9">
        <v>46477</v>
      </c>
      <c r="S62" s="23">
        <v>5400</v>
      </c>
      <c r="T62" s="23">
        <v>5000</v>
      </c>
      <c r="U62" s="24"/>
      <c r="V62" s="13"/>
      <c r="W62" s="13"/>
      <c r="X62" s="14" t="s">
        <v>466</v>
      </c>
    </row>
    <row r="63" spans="1:24">
      <c r="A63" s="11" t="s">
        <v>467</v>
      </c>
      <c r="B63" s="11" t="s">
        <v>306</v>
      </c>
      <c r="C63" s="11" t="s">
        <v>222</v>
      </c>
      <c r="D63" s="11" t="s">
        <v>223</v>
      </c>
      <c r="E63" s="11" t="s">
        <v>468</v>
      </c>
      <c r="F63" s="11" t="s">
        <v>347</v>
      </c>
      <c r="G63" s="11" t="s">
        <v>352</v>
      </c>
      <c r="H63" s="11"/>
      <c r="I63" s="11" t="s">
        <v>349</v>
      </c>
      <c r="J63" s="11"/>
      <c r="K63" s="21">
        <v>4000000</v>
      </c>
      <c r="L63" s="11" t="s">
        <v>123</v>
      </c>
      <c r="M63" s="21">
        <v>-25000</v>
      </c>
      <c r="N63" s="11" t="s">
        <v>123</v>
      </c>
      <c r="O63" s="9"/>
      <c r="P63" s="9"/>
      <c r="Q63" s="9">
        <v>46565</v>
      </c>
      <c r="R63" s="9"/>
      <c r="S63" s="23"/>
      <c r="T63" s="23"/>
      <c r="U63" s="24"/>
      <c r="V63" s="13"/>
      <c r="W63" s="13"/>
      <c r="X63" s="14" t="s">
        <v>469</v>
      </c>
    </row>
    <row r="64" spans="1:24">
      <c r="A64" s="11" t="s">
        <v>470</v>
      </c>
      <c r="B64" s="11" t="s">
        <v>306</v>
      </c>
      <c r="C64" s="11" t="s">
        <v>222</v>
      </c>
      <c r="D64" s="11" t="s">
        <v>226</v>
      </c>
      <c r="E64" s="11" t="s">
        <v>465</v>
      </c>
      <c r="F64" s="11" t="s">
        <v>347</v>
      </c>
      <c r="G64" s="11" t="s">
        <v>348</v>
      </c>
      <c r="H64" s="11"/>
      <c r="I64" s="11" t="s">
        <v>471</v>
      </c>
      <c r="J64" s="11" t="s">
        <v>472</v>
      </c>
      <c r="K64" s="21">
        <v>1000000</v>
      </c>
      <c r="L64" s="11" t="s">
        <v>123</v>
      </c>
      <c r="M64" s="21">
        <v>18000</v>
      </c>
      <c r="N64" s="11" t="s">
        <v>123</v>
      </c>
      <c r="O64" s="9"/>
      <c r="P64" s="9"/>
      <c r="Q64" s="9">
        <v>46660</v>
      </c>
      <c r="R64" s="9"/>
      <c r="S64" s="23"/>
      <c r="T64" s="23"/>
      <c r="U64" s="24"/>
      <c r="V64" s="13"/>
      <c r="W64" s="13"/>
      <c r="X64" s="14" t="s">
        <v>473</v>
      </c>
    </row>
    <row r="65" spans="1:24">
      <c r="A65" s="11" t="s">
        <v>474</v>
      </c>
      <c r="B65" s="11" t="s">
        <v>306</v>
      </c>
      <c r="C65" s="11" t="s">
        <v>51</v>
      </c>
      <c r="D65" s="11" t="s">
        <v>231</v>
      </c>
      <c r="E65" s="11" t="s">
        <v>475</v>
      </c>
      <c r="F65" s="11" t="s">
        <v>347</v>
      </c>
      <c r="G65" s="11" t="s">
        <v>348</v>
      </c>
      <c r="H65" s="11"/>
      <c r="I65" s="11" t="s">
        <v>349</v>
      </c>
      <c r="J65" s="11"/>
      <c r="K65" s="21">
        <v>6000000</v>
      </c>
      <c r="L65" s="11" t="s">
        <v>248</v>
      </c>
      <c r="M65" s="21">
        <v>75000</v>
      </c>
      <c r="N65" s="11" t="s">
        <v>248</v>
      </c>
      <c r="O65" s="9"/>
      <c r="P65" s="9"/>
      <c r="Q65" s="9">
        <v>46660</v>
      </c>
      <c r="R65" s="9"/>
      <c r="S65" s="23"/>
      <c r="T65" s="23"/>
      <c r="U65" s="24"/>
      <c r="V65" s="13"/>
      <c r="W65" s="13"/>
      <c r="X65" s="14" t="s">
        <v>476</v>
      </c>
    </row>
    <row r="66" spans="1:24">
      <c r="A66" s="11" t="s">
        <v>477</v>
      </c>
      <c r="B66" s="11" t="s">
        <v>306</v>
      </c>
      <c r="C66" s="11" t="s">
        <v>51</v>
      </c>
      <c r="D66" s="11" t="s">
        <v>231</v>
      </c>
      <c r="E66" s="11" t="s">
        <v>404</v>
      </c>
      <c r="F66" s="11" t="s">
        <v>347</v>
      </c>
      <c r="G66" s="11" t="s">
        <v>352</v>
      </c>
      <c r="H66" s="11"/>
      <c r="I66" s="11" t="s">
        <v>349</v>
      </c>
      <c r="J66" s="11"/>
      <c r="K66" s="21">
        <v>3000000</v>
      </c>
      <c r="L66" s="11" t="s">
        <v>248</v>
      </c>
      <c r="M66" s="21">
        <v>-20000</v>
      </c>
      <c r="N66" s="11" t="s">
        <v>248</v>
      </c>
      <c r="O66" s="9"/>
      <c r="P66" s="9"/>
      <c r="Q66" s="9">
        <v>46843</v>
      </c>
      <c r="R66" s="9"/>
      <c r="S66" s="23"/>
      <c r="T66" s="23"/>
      <c r="U66" s="24"/>
      <c r="V66" s="13"/>
      <c r="W66" s="13"/>
      <c r="X66" s="14" t="s">
        <v>478</v>
      </c>
    </row>
    <row r="67" spans="1:24">
      <c r="A67" s="11" t="s">
        <v>479</v>
      </c>
      <c r="B67" s="11" t="s">
        <v>306</v>
      </c>
      <c r="C67" s="11" t="s">
        <v>51</v>
      </c>
      <c r="D67" s="11" t="s">
        <v>228</v>
      </c>
      <c r="E67" s="11" t="s">
        <v>480</v>
      </c>
      <c r="F67" s="11" t="s">
        <v>347</v>
      </c>
      <c r="G67" s="11" t="s">
        <v>348</v>
      </c>
      <c r="H67" s="11"/>
      <c r="I67" s="11" t="s">
        <v>349</v>
      </c>
      <c r="J67" s="11"/>
      <c r="K67" s="21">
        <v>2000000</v>
      </c>
      <c r="L67" s="11" t="s">
        <v>123</v>
      </c>
      <c r="M67" s="21">
        <v>60000</v>
      </c>
      <c r="N67" s="11" t="s">
        <v>123</v>
      </c>
      <c r="O67" s="9"/>
      <c r="P67" s="9"/>
      <c r="Q67" s="9">
        <v>46660</v>
      </c>
      <c r="R67" s="9"/>
      <c r="S67" s="23"/>
      <c r="T67" s="23"/>
      <c r="U67" s="24"/>
      <c r="V67" s="13"/>
      <c r="W67" s="13"/>
      <c r="X67" s="14" t="s">
        <v>481</v>
      </c>
    </row>
    <row r="68" spans="1:24">
      <c r="A68" s="11" t="s">
        <v>482</v>
      </c>
      <c r="B68" s="11" t="s">
        <v>306</v>
      </c>
      <c r="C68" s="11" t="s">
        <v>51</v>
      </c>
      <c r="D68" s="11" t="s">
        <v>233</v>
      </c>
      <c r="E68" s="11" t="s">
        <v>483</v>
      </c>
      <c r="F68" s="11" t="s">
        <v>347</v>
      </c>
      <c r="G68" s="11" t="s">
        <v>348</v>
      </c>
      <c r="H68" s="11"/>
      <c r="I68" s="11" t="s">
        <v>349</v>
      </c>
      <c r="J68" s="11"/>
      <c r="K68" s="21">
        <v>5000000</v>
      </c>
      <c r="L68" s="11" t="s">
        <v>248</v>
      </c>
      <c r="M68" s="21">
        <v>140000</v>
      </c>
      <c r="N68" s="11" t="s">
        <v>248</v>
      </c>
      <c r="O68" s="9"/>
      <c r="P68" s="9"/>
      <c r="Q68" s="9">
        <v>47025</v>
      </c>
      <c r="R68" s="9"/>
      <c r="S68" s="23"/>
      <c r="T68" s="23"/>
      <c r="U68" s="24"/>
      <c r="V68" s="13"/>
      <c r="W68" s="13"/>
      <c r="X68" s="14" t="s">
        <v>484</v>
      </c>
    </row>
    <row r="69" spans="1:24">
      <c r="A69" s="11" t="s">
        <v>485</v>
      </c>
      <c r="B69" s="11" t="s">
        <v>306</v>
      </c>
      <c r="C69" s="11" t="s">
        <v>51</v>
      </c>
      <c r="D69" s="11" t="s">
        <v>235</v>
      </c>
      <c r="E69" s="11" t="s">
        <v>486</v>
      </c>
      <c r="F69" s="11" t="s">
        <v>347</v>
      </c>
      <c r="G69" s="11" t="s">
        <v>352</v>
      </c>
      <c r="H69" s="11"/>
      <c r="I69" s="11" t="s">
        <v>349</v>
      </c>
      <c r="J69" s="11"/>
      <c r="K69" s="21">
        <v>1500000</v>
      </c>
      <c r="L69" s="11" t="s">
        <v>248</v>
      </c>
      <c r="M69" s="21">
        <v>-12000</v>
      </c>
      <c r="N69" s="11" t="s">
        <v>248</v>
      </c>
      <c r="O69" s="9"/>
      <c r="P69" s="9"/>
      <c r="Q69" s="9">
        <v>46477</v>
      </c>
      <c r="R69" s="9"/>
      <c r="S69" s="23"/>
      <c r="T69" s="23"/>
      <c r="U69" s="24"/>
      <c r="V69" s="13"/>
      <c r="W69" s="13"/>
      <c r="X69" s="14" t="s">
        <v>487</v>
      </c>
    </row>
    <row r="70" spans="1:2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21"/>
      <c r="L70" s="11"/>
      <c r="M70" s="21"/>
      <c r="N70" s="11"/>
      <c r="O70" s="9"/>
      <c r="P70" s="9"/>
      <c r="Q70" s="9"/>
      <c r="R70" s="9"/>
      <c r="S70" s="23"/>
      <c r="T70" s="23"/>
      <c r="U70" s="24"/>
      <c r="V70" s="13"/>
      <c r="W70" s="13"/>
      <c r="X70" s="14"/>
    </row>
    <row r="71" spans="1:2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21"/>
      <c r="L71" s="11"/>
      <c r="M71" s="21"/>
      <c r="N71" s="11"/>
      <c r="O71" s="9"/>
      <c r="P71" s="9"/>
      <c r="Q71" s="9"/>
      <c r="R71" s="9"/>
      <c r="S71" s="23"/>
      <c r="T71" s="23"/>
      <c r="U71" s="24"/>
      <c r="V71" s="13"/>
      <c r="W71" s="13"/>
      <c r="X71" s="14"/>
    </row>
    <row r="72" spans="1:24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21"/>
      <c r="L72" s="11"/>
      <c r="M72" s="21"/>
      <c r="N72" s="11"/>
      <c r="O72" s="9"/>
      <c r="P72" s="9"/>
      <c r="Q72" s="9"/>
      <c r="R72" s="9"/>
      <c r="S72" s="23"/>
      <c r="T72" s="23"/>
      <c r="U72" s="24"/>
      <c r="V72" s="13"/>
      <c r="W72" s="13"/>
      <c r="X72" s="14"/>
    </row>
    <row r="73" spans="1:24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21"/>
      <c r="L73" s="11"/>
      <c r="M73" s="21"/>
      <c r="N73" s="11"/>
      <c r="O73" s="9"/>
      <c r="P73" s="9"/>
      <c r="Q73" s="9"/>
      <c r="R73" s="9"/>
      <c r="S73" s="23"/>
      <c r="T73" s="23"/>
      <c r="U73" s="24"/>
      <c r="V73" s="13"/>
      <c r="W73" s="13"/>
      <c r="X73" s="14"/>
    </row>
    <row r="74" spans="1:2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21"/>
      <c r="L74" s="11"/>
      <c r="M74" s="21"/>
      <c r="N74" s="11"/>
      <c r="O74" s="9"/>
      <c r="P74" s="9"/>
      <c r="Q74" s="9"/>
      <c r="R74" s="9"/>
      <c r="S74" s="23"/>
      <c r="T74" s="23"/>
      <c r="U74" s="24"/>
      <c r="V74" s="13"/>
      <c r="W74" s="13"/>
      <c r="X74" s="14"/>
    </row>
    <row r="75" spans="1:24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21"/>
      <c r="L75" s="11"/>
      <c r="M75" s="21"/>
      <c r="N75" s="11"/>
      <c r="O75" s="9"/>
      <c r="P75" s="9"/>
      <c r="Q75" s="9"/>
      <c r="R75" s="9"/>
      <c r="S75" s="23"/>
      <c r="T75" s="23"/>
      <c r="U75" s="24"/>
      <c r="V75" s="13"/>
      <c r="W75" s="13"/>
      <c r="X75" s="14"/>
    </row>
    <row r="76" spans="1:24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21"/>
      <c r="L76" s="11"/>
      <c r="M76" s="21"/>
      <c r="N76" s="11"/>
      <c r="O76" s="9"/>
      <c r="P76" s="9"/>
      <c r="Q76" s="9"/>
      <c r="R76" s="9"/>
      <c r="S76" s="23"/>
      <c r="T76" s="23"/>
      <c r="U76" s="24"/>
      <c r="V76" s="13"/>
      <c r="W76" s="13"/>
      <c r="X76" s="14"/>
    </row>
    <row r="77" spans="1:24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21"/>
      <c r="L77" s="11"/>
      <c r="M77" s="21"/>
      <c r="N77" s="11"/>
      <c r="O77" s="9"/>
      <c r="P77" s="9"/>
      <c r="Q77" s="9"/>
      <c r="R77" s="9"/>
      <c r="S77" s="23"/>
      <c r="T77" s="23"/>
      <c r="U77" s="24"/>
      <c r="V77" s="13"/>
      <c r="W77" s="13"/>
      <c r="X77" s="14"/>
    </row>
    <row r="78" spans="1:2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21"/>
      <c r="L78" s="11"/>
      <c r="M78" s="21"/>
      <c r="N78" s="11"/>
      <c r="O78" s="9"/>
      <c r="P78" s="9"/>
      <c r="Q78" s="9"/>
      <c r="R78" s="9"/>
      <c r="S78" s="23"/>
      <c r="T78" s="23"/>
      <c r="U78" s="24"/>
      <c r="V78" s="13"/>
      <c r="W78" s="13"/>
      <c r="X78" s="14"/>
    </row>
    <row r="79" spans="1:24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21"/>
      <c r="L79" s="11"/>
      <c r="M79" s="21"/>
      <c r="N79" s="11"/>
      <c r="O79" s="9"/>
      <c r="P79" s="9"/>
      <c r="Q79" s="9"/>
      <c r="R79" s="9"/>
      <c r="S79" s="23"/>
      <c r="T79" s="23"/>
      <c r="U79" s="24"/>
      <c r="V79" s="13"/>
      <c r="W79" s="13"/>
      <c r="X79" s="14"/>
    </row>
    <row r="80" spans="1:24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21"/>
      <c r="L80" s="11"/>
      <c r="M80" s="21"/>
      <c r="N80" s="11"/>
      <c r="O80" s="9"/>
      <c r="P80" s="9"/>
      <c r="Q80" s="9"/>
      <c r="R80" s="9"/>
      <c r="S80" s="23"/>
      <c r="T80" s="23"/>
      <c r="U80" s="24"/>
      <c r="V80" s="13"/>
      <c r="W80" s="13"/>
      <c r="X80" s="14"/>
    </row>
    <row r="81" spans="1:24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21"/>
      <c r="L81" s="11"/>
      <c r="M81" s="21"/>
      <c r="N81" s="11"/>
      <c r="O81" s="9"/>
      <c r="P81" s="9"/>
      <c r="Q81" s="9"/>
      <c r="R81" s="9"/>
      <c r="S81" s="23"/>
      <c r="T81" s="23"/>
      <c r="U81" s="24"/>
      <c r="V81" s="13"/>
      <c r="W81" s="13"/>
      <c r="X81" s="14"/>
    </row>
    <row r="82" spans="1:24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21"/>
      <c r="L82" s="11"/>
      <c r="M82" s="21"/>
      <c r="N82" s="11"/>
      <c r="O82" s="9"/>
      <c r="P82" s="9"/>
      <c r="Q82" s="9"/>
      <c r="R82" s="9"/>
      <c r="S82" s="23"/>
      <c r="T82" s="23"/>
      <c r="U82" s="24"/>
      <c r="V82" s="13"/>
      <c r="W82" s="13"/>
      <c r="X82" s="14"/>
    </row>
    <row r="83" spans="1:24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21"/>
      <c r="L83" s="11"/>
      <c r="M83" s="21"/>
      <c r="N83" s="11"/>
      <c r="O83" s="9"/>
      <c r="P83" s="9"/>
      <c r="Q83" s="9"/>
      <c r="R83" s="9"/>
      <c r="S83" s="23"/>
      <c r="T83" s="23"/>
      <c r="U83" s="24"/>
      <c r="V83" s="13"/>
      <c r="W83" s="13"/>
      <c r="X83" s="14"/>
    </row>
    <row r="84" spans="1:2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21"/>
      <c r="L84" s="11"/>
      <c r="M84" s="21"/>
      <c r="N84" s="11"/>
      <c r="O84" s="9"/>
      <c r="P84" s="9"/>
      <c r="Q84" s="9"/>
      <c r="R84" s="9"/>
      <c r="S84" s="23"/>
      <c r="T84" s="23"/>
      <c r="U84" s="24"/>
      <c r="V84" s="13"/>
      <c r="W84" s="13"/>
      <c r="X84" s="14"/>
    </row>
    <row r="85" spans="1:24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21"/>
      <c r="L85" s="11"/>
      <c r="M85" s="21"/>
      <c r="N85" s="11"/>
      <c r="O85" s="9"/>
      <c r="P85" s="9"/>
      <c r="Q85" s="9"/>
      <c r="R85" s="9"/>
      <c r="S85" s="23"/>
      <c r="T85" s="23"/>
      <c r="U85" s="24"/>
      <c r="V85" s="13"/>
      <c r="W85" s="13"/>
      <c r="X85" s="14"/>
    </row>
    <row r="86" spans="1:24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21"/>
      <c r="L86" s="11"/>
      <c r="M86" s="21"/>
      <c r="N86" s="11"/>
      <c r="O86" s="9"/>
      <c r="P86" s="9"/>
      <c r="Q86" s="9"/>
      <c r="R86" s="9"/>
      <c r="S86" s="23"/>
      <c r="T86" s="23"/>
      <c r="U86" s="24"/>
      <c r="V86" s="13"/>
      <c r="W86" s="13"/>
      <c r="X86" s="14"/>
    </row>
    <row r="87" spans="1:24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21"/>
      <c r="L87" s="11"/>
      <c r="M87" s="21"/>
      <c r="N87" s="11"/>
      <c r="O87" s="9"/>
      <c r="P87" s="9"/>
      <c r="Q87" s="9"/>
      <c r="R87" s="9"/>
      <c r="S87" s="23"/>
      <c r="T87" s="23"/>
      <c r="U87" s="24"/>
      <c r="V87" s="13"/>
      <c r="W87" s="13"/>
      <c r="X87" s="14"/>
    </row>
    <row r="88" spans="1:24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21"/>
      <c r="L88" s="11"/>
      <c r="M88" s="21"/>
      <c r="N88" s="11"/>
      <c r="O88" s="9"/>
      <c r="P88" s="9"/>
      <c r="Q88" s="9"/>
      <c r="R88" s="9"/>
      <c r="S88" s="23"/>
      <c r="T88" s="23"/>
      <c r="U88" s="24"/>
      <c r="V88" s="13"/>
      <c r="W88" s="13"/>
      <c r="X88" s="14"/>
    </row>
    <row r="89" spans="1:24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21"/>
      <c r="L89" s="11"/>
      <c r="M89" s="21"/>
      <c r="N89" s="11"/>
      <c r="O89" s="9"/>
      <c r="P89" s="9"/>
      <c r="Q89" s="9"/>
      <c r="R89" s="9"/>
      <c r="S89" s="23"/>
      <c r="T89" s="23"/>
      <c r="U89" s="24"/>
      <c r="V89" s="13"/>
      <c r="W89" s="13"/>
      <c r="X89" s="14"/>
    </row>
    <row r="90" spans="1:24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21"/>
      <c r="L90" s="11"/>
      <c r="M90" s="21"/>
      <c r="N90" s="11"/>
      <c r="O90" s="9"/>
      <c r="P90" s="9"/>
      <c r="Q90" s="9"/>
      <c r="R90" s="9"/>
      <c r="S90" s="23"/>
      <c r="T90" s="23"/>
      <c r="U90" s="24"/>
      <c r="V90" s="13"/>
      <c r="W90" s="13"/>
      <c r="X90" s="14"/>
    </row>
    <row r="91" spans="1:24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21"/>
      <c r="L91" s="11"/>
      <c r="M91" s="21"/>
      <c r="N91" s="11"/>
      <c r="O91" s="9"/>
      <c r="P91" s="9"/>
      <c r="Q91" s="9"/>
      <c r="R91" s="9"/>
      <c r="S91" s="23"/>
      <c r="T91" s="23"/>
      <c r="U91" s="24"/>
      <c r="V91" s="13"/>
      <c r="W91" s="13"/>
      <c r="X91" s="14"/>
    </row>
    <row r="92" spans="1:24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1"/>
      <c r="L92" s="11"/>
      <c r="M92" s="21"/>
      <c r="N92" s="11"/>
      <c r="O92" s="9"/>
      <c r="P92" s="9"/>
      <c r="Q92" s="9"/>
      <c r="R92" s="9"/>
      <c r="S92" s="23"/>
      <c r="T92" s="23"/>
      <c r="U92" s="24"/>
      <c r="V92" s="13"/>
      <c r="W92" s="13"/>
      <c r="X92" s="14"/>
    </row>
    <row r="93" spans="1:24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21"/>
      <c r="L93" s="11"/>
      <c r="M93" s="21"/>
      <c r="N93" s="11"/>
      <c r="O93" s="9"/>
      <c r="P93" s="9"/>
      <c r="Q93" s="9"/>
      <c r="R93" s="9"/>
      <c r="S93" s="23"/>
      <c r="T93" s="23"/>
      <c r="U93" s="24"/>
      <c r="V93" s="13"/>
      <c r="W93" s="13"/>
      <c r="X93" s="14"/>
    </row>
    <row r="94" spans="1:2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21"/>
      <c r="L94" s="11"/>
      <c r="M94" s="21"/>
      <c r="N94" s="11"/>
      <c r="O94" s="9"/>
      <c r="P94" s="9"/>
      <c r="Q94" s="9"/>
      <c r="R94" s="9"/>
      <c r="S94" s="23"/>
      <c r="T94" s="23"/>
      <c r="U94" s="24"/>
      <c r="V94" s="13"/>
      <c r="W94" s="13"/>
      <c r="X94" s="14"/>
    </row>
    <row r="95" spans="1:24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21"/>
      <c r="L95" s="11"/>
      <c r="M95" s="21"/>
      <c r="N95" s="11"/>
      <c r="O95" s="9"/>
      <c r="P95" s="9"/>
      <c r="Q95" s="9"/>
      <c r="R95" s="9"/>
      <c r="S95" s="23"/>
      <c r="T95" s="23"/>
      <c r="U95" s="24"/>
      <c r="V95" s="13"/>
      <c r="W95" s="13"/>
      <c r="X95" s="14"/>
    </row>
    <row r="96" spans="1:24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21"/>
      <c r="L96" s="11"/>
      <c r="M96" s="21"/>
      <c r="N96" s="11"/>
      <c r="O96" s="9"/>
      <c r="P96" s="9"/>
      <c r="Q96" s="9"/>
      <c r="R96" s="9"/>
      <c r="S96" s="23"/>
      <c r="T96" s="23"/>
      <c r="U96" s="24"/>
      <c r="V96" s="13"/>
      <c r="W96" s="13"/>
      <c r="X96" s="14"/>
    </row>
    <row r="97" spans="1:24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21"/>
      <c r="L97" s="11"/>
      <c r="M97" s="21"/>
      <c r="N97" s="11"/>
      <c r="O97" s="9"/>
      <c r="P97" s="9"/>
      <c r="Q97" s="9"/>
      <c r="R97" s="9"/>
      <c r="S97" s="23"/>
      <c r="T97" s="23"/>
      <c r="U97" s="24"/>
      <c r="V97" s="13"/>
      <c r="W97" s="13"/>
      <c r="X97" s="14"/>
    </row>
    <row r="98" spans="1:2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21"/>
      <c r="L98" s="11"/>
      <c r="M98" s="21"/>
      <c r="N98" s="11"/>
      <c r="O98" s="9"/>
      <c r="P98" s="9"/>
      <c r="Q98" s="9"/>
      <c r="R98" s="9"/>
      <c r="S98" s="23"/>
      <c r="T98" s="23"/>
      <c r="U98" s="24"/>
      <c r="V98" s="13"/>
      <c r="W98" s="13"/>
      <c r="X98" s="14"/>
    </row>
    <row r="99" spans="1:24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21"/>
      <c r="L99" s="11"/>
      <c r="M99" s="21"/>
      <c r="N99" s="11"/>
      <c r="O99" s="9"/>
      <c r="P99" s="9"/>
      <c r="Q99" s="9"/>
      <c r="R99" s="9"/>
      <c r="S99" s="23"/>
      <c r="T99" s="23"/>
      <c r="U99" s="24"/>
      <c r="V99" s="13"/>
      <c r="W99" s="13"/>
      <c r="X99" s="14"/>
    </row>
    <row r="100" spans="1:24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21"/>
      <c r="L100" s="11"/>
      <c r="M100" s="21"/>
      <c r="N100" s="11"/>
      <c r="O100" s="9"/>
      <c r="P100" s="9"/>
      <c r="Q100" s="9"/>
      <c r="R100" s="9"/>
      <c r="S100" s="23"/>
      <c r="T100" s="23"/>
      <c r="U100" s="24"/>
      <c r="V100" s="13"/>
      <c r="W100" s="13"/>
      <c r="X100" s="14"/>
    </row>
    <row r="101" spans="1:24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21"/>
      <c r="L101" s="11"/>
      <c r="M101" s="21"/>
      <c r="N101" s="11"/>
      <c r="O101" s="9"/>
      <c r="P101" s="9"/>
      <c r="Q101" s="9"/>
      <c r="R101" s="9"/>
      <c r="S101" s="23"/>
      <c r="T101" s="23"/>
      <c r="U101" s="24"/>
      <c r="V101" s="13"/>
      <c r="W101" s="13"/>
      <c r="X101" s="14"/>
    </row>
    <row r="102" spans="1:24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21"/>
      <c r="L102" s="11"/>
      <c r="M102" s="21"/>
      <c r="N102" s="11"/>
      <c r="O102" s="9"/>
      <c r="P102" s="9"/>
      <c r="Q102" s="9"/>
      <c r="R102" s="9"/>
      <c r="S102" s="23"/>
      <c r="T102" s="23"/>
      <c r="U102" s="24"/>
      <c r="V102" s="13"/>
      <c r="W102" s="13"/>
      <c r="X102" s="14"/>
    </row>
    <row r="103" spans="1:24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21"/>
      <c r="L103" s="11"/>
      <c r="M103" s="21"/>
      <c r="N103" s="11"/>
      <c r="O103" s="9"/>
      <c r="P103" s="9"/>
      <c r="Q103" s="9"/>
      <c r="R103" s="9"/>
      <c r="S103" s="23"/>
      <c r="T103" s="23"/>
      <c r="U103" s="24"/>
      <c r="V103" s="13"/>
      <c r="W103" s="13"/>
      <c r="X103" s="14"/>
    </row>
    <row r="104" spans="1:2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21"/>
      <c r="L104" s="11"/>
      <c r="M104" s="21"/>
      <c r="N104" s="11"/>
      <c r="O104" s="9"/>
      <c r="P104" s="9"/>
      <c r="Q104" s="9"/>
      <c r="R104" s="9"/>
      <c r="S104" s="23"/>
      <c r="T104" s="23"/>
      <c r="U104" s="24"/>
      <c r="V104" s="13"/>
      <c r="W104" s="13"/>
      <c r="X104" s="14"/>
    </row>
    <row r="105" spans="1:24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21"/>
      <c r="L105" s="11"/>
      <c r="M105" s="21"/>
      <c r="N105" s="11"/>
      <c r="O105" s="9"/>
      <c r="P105" s="9"/>
      <c r="Q105" s="9"/>
      <c r="R105" s="9"/>
      <c r="S105" s="23"/>
      <c r="T105" s="23"/>
      <c r="U105" s="24"/>
      <c r="V105" s="13"/>
      <c r="W105" s="13"/>
      <c r="X105" s="14"/>
    </row>
    <row r="106" spans="1:24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21"/>
      <c r="L106" s="11"/>
      <c r="M106" s="21"/>
      <c r="N106" s="11"/>
      <c r="O106" s="9"/>
      <c r="P106" s="9"/>
      <c r="Q106" s="9"/>
      <c r="R106" s="9"/>
      <c r="S106" s="23"/>
      <c r="T106" s="23"/>
      <c r="U106" s="24"/>
      <c r="V106" s="13"/>
      <c r="W106" s="13"/>
      <c r="X106" s="14"/>
    </row>
    <row r="107" spans="1:24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21"/>
      <c r="L107" s="11"/>
      <c r="M107" s="21"/>
      <c r="N107" s="11"/>
      <c r="O107" s="9"/>
      <c r="P107" s="9"/>
      <c r="Q107" s="9"/>
      <c r="R107" s="9"/>
      <c r="S107" s="23"/>
      <c r="T107" s="23"/>
      <c r="U107" s="24"/>
      <c r="V107" s="13"/>
      <c r="W107" s="13"/>
      <c r="X107" s="14"/>
    </row>
    <row r="108" spans="1:24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21"/>
      <c r="L108" s="11"/>
      <c r="M108" s="21"/>
      <c r="N108" s="11"/>
      <c r="O108" s="9"/>
      <c r="P108" s="9"/>
      <c r="Q108" s="9"/>
      <c r="R108" s="9"/>
      <c r="S108" s="23"/>
      <c r="T108" s="23"/>
      <c r="U108" s="24"/>
      <c r="V108" s="13"/>
      <c r="W108" s="13"/>
      <c r="X108" s="14"/>
    </row>
    <row r="109" spans="1:24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21"/>
      <c r="L109" s="11"/>
      <c r="M109" s="21"/>
      <c r="N109" s="11"/>
      <c r="O109" s="9"/>
      <c r="P109" s="9"/>
      <c r="Q109" s="9"/>
      <c r="R109" s="9"/>
      <c r="S109" s="23"/>
      <c r="T109" s="23"/>
      <c r="U109" s="24"/>
      <c r="V109" s="13"/>
      <c r="W109" s="13"/>
      <c r="X109" s="14"/>
    </row>
    <row r="110" spans="1:24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21"/>
      <c r="L110" s="11"/>
      <c r="M110" s="21"/>
      <c r="N110" s="11"/>
      <c r="O110" s="9"/>
      <c r="P110" s="9"/>
      <c r="Q110" s="9"/>
      <c r="R110" s="9"/>
      <c r="S110" s="23"/>
      <c r="T110" s="23"/>
      <c r="U110" s="24"/>
      <c r="V110" s="13"/>
      <c r="W110" s="13"/>
      <c r="X110" s="14"/>
    </row>
    <row r="111" spans="1:24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21"/>
      <c r="L111" s="11"/>
      <c r="M111" s="21"/>
      <c r="N111" s="11"/>
      <c r="O111" s="9"/>
      <c r="P111" s="9"/>
      <c r="Q111" s="9"/>
      <c r="R111" s="9"/>
      <c r="S111" s="23"/>
      <c r="T111" s="23"/>
      <c r="U111" s="24"/>
      <c r="V111" s="13"/>
      <c r="W111" s="13"/>
      <c r="X111" s="14"/>
    </row>
    <row r="112" spans="1:24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21"/>
      <c r="L112" s="11"/>
      <c r="M112" s="21"/>
      <c r="N112" s="11"/>
      <c r="O112" s="9"/>
      <c r="P112" s="9"/>
      <c r="Q112" s="9"/>
      <c r="R112" s="9"/>
      <c r="S112" s="23"/>
      <c r="T112" s="23"/>
      <c r="U112" s="24"/>
      <c r="V112" s="13"/>
      <c r="W112" s="13"/>
      <c r="X112" s="14"/>
    </row>
    <row r="113" spans="1:24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21"/>
      <c r="L113" s="11"/>
      <c r="M113" s="21"/>
      <c r="N113" s="11"/>
      <c r="O113" s="9"/>
      <c r="P113" s="9"/>
      <c r="Q113" s="9"/>
      <c r="R113" s="9"/>
      <c r="S113" s="23"/>
      <c r="T113" s="23"/>
      <c r="U113" s="24"/>
      <c r="V113" s="13"/>
      <c r="W113" s="13"/>
      <c r="X113" s="14"/>
    </row>
    <row r="114" spans="1:2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21"/>
      <c r="L114" s="11"/>
      <c r="M114" s="21"/>
      <c r="N114" s="11"/>
      <c r="O114" s="9"/>
      <c r="P114" s="9"/>
      <c r="Q114" s="9"/>
      <c r="R114" s="9"/>
      <c r="S114" s="23"/>
      <c r="T114" s="23"/>
      <c r="U114" s="24"/>
      <c r="V114" s="13"/>
      <c r="W114" s="13"/>
      <c r="X114" s="14"/>
    </row>
    <row r="115" spans="1:24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21"/>
      <c r="L115" s="11"/>
      <c r="M115" s="21"/>
      <c r="N115" s="11"/>
      <c r="O115" s="9"/>
      <c r="P115" s="9"/>
      <c r="Q115" s="9"/>
      <c r="R115" s="9"/>
      <c r="S115" s="23"/>
      <c r="T115" s="23"/>
      <c r="U115" s="24"/>
      <c r="V115" s="13"/>
      <c r="W115" s="13"/>
      <c r="X115" s="14"/>
    </row>
    <row r="116" spans="1:24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21"/>
      <c r="L116" s="11"/>
      <c r="M116" s="21"/>
      <c r="N116" s="11"/>
      <c r="O116" s="9"/>
      <c r="P116" s="9"/>
      <c r="Q116" s="9"/>
      <c r="R116" s="9"/>
      <c r="S116" s="23"/>
      <c r="T116" s="23"/>
      <c r="U116" s="24"/>
      <c r="V116" s="13"/>
      <c r="W116" s="13"/>
      <c r="X116" s="14"/>
    </row>
    <row r="117" spans="1:24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21"/>
      <c r="L117" s="11"/>
      <c r="M117" s="21"/>
      <c r="N117" s="11"/>
      <c r="O117" s="9"/>
      <c r="P117" s="9"/>
      <c r="Q117" s="9"/>
      <c r="R117" s="9"/>
      <c r="S117" s="23"/>
      <c r="T117" s="23"/>
      <c r="U117" s="24"/>
      <c r="V117" s="13"/>
      <c r="W117" s="13"/>
      <c r="X117" s="14"/>
    </row>
    <row r="118" spans="1:24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21"/>
      <c r="L118" s="11"/>
      <c r="M118" s="21"/>
      <c r="N118" s="11"/>
      <c r="O118" s="9"/>
      <c r="P118" s="9"/>
      <c r="Q118" s="9"/>
      <c r="R118" s="9"/>
      <c r="S118" s="23"/>
      <c r="T118" s="23"/>
      <c r="U118" s="24"/>
      <c r="V118" s="13"/>
      <c r="W118" s="13"/>
      <c r="X118" s="14"/>
    </row>
    <row r="119" spans="1:24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21"/>
      <c r="L119" s="11"/>
      <c r="M119" s="21"/>
      <c r="N119" s="11"/>
      <c r="O119" s="9"/>
      <c r="P119" s="9"/>
      <c r="Q119" s="9"/>
      <c r="R119" s="9"/>
      <c r="S119" s="23"/>
      <c r="T119" s="23"/>
      <c r="U119" s="24"/>
      <c r="V119" s="13"/>
      <c r="W119" s="13"/>
      <c r="X119" s="14"/>
    </row>
    <row r="120" spans="1:24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21"/>
      <c r="L120" s="11"/>
      <c r="M120" s="21"/>
      <c r="N120" s="11"/>
      <c r="O120" s="9"/>
      <c r="P120" s="9"/>
      <c r="Q120" s="9"/>
      <c r="R120" s="9"/>
      <c r="S120" s="23"/>
      <c r="T120" s="23"/>
      <c r="U120" s="24"/>
      <c r="V120" s="13"/>
      <c r="W120" s="13"/>
      <c r="X120" s="14"/>
    </row>
    <row r="121" spans="1:24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21"/>
      <c r="L121" s="11"/>
      <c r="M121" s="21"/>
      <c r="N121" s="11"/>
      <c r="O121" s="9"/>
      <c r="P121" s="9"/>
      <c r="Q121" s="9"/>
      <c r="R121" s="9"/>
      <c r="S121" s="23"/>
      <c r="T121" s="23"/>
      <c r="U121" s="24"/>
      <c r="V121" s="13"/>
      <c r="W121" s="13"/>
      <c r="X121" s="14"/>
    </row>
    <row r="122" spans="1:24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21"/>
      <c r="L122" s="11"/>
      <c r="M122" s="21"/>
      <c r="N122" s="11"/>
      <c r="O122" s="9"/>
      <c r="P122" s="9"/>
      <c r="Q122" s="9"/>
      <c r="R122" s="9"/>
      <c r="S122" s="23"/>
      <c r="T122" s="23"/>
      <c r="U122" s="24"/>
      <c r="V122" s="13"/>
      <c r="W122" s="13"/>
      <c r="X122" s="14"/>
    </row>
    <row r="123" spans="1:24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21"/>
      <c r="L123" s="11"/>
      <c r="M123" s="21"/>
      <c r="N123" s="11"/>
      <c r="O123" s="9"/>
      <c r="P123" s="9"/>
      <c r="Q123" s="9"/>
      <c r="R123" s="9"/>
      <c r="S123" s="23"/>
      <c r="T123" s="23"/>
      <c r="U123" s="24"/>
      <c r="V123" s="13"/>
      <c r="W123" s="13"/>
      <c r="X123" s="14"/>
    </row>
    <row r="124" spans="1: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21"/>
      <c r="L124" s="11"/>
      <c r="M124" s="21"/>
      <c r="N124" s="11"/>
      <c r="O124" s="9"/>
      <c r="P124" s="9"/>
      <c r="Q124" s="9"/>
      <c r="R124" s="9"/>
      <c r="S124" s="23"/>
      <c r="T124" s="23"/>
      <c r="U124" s="24"/>
      <c r="V124" s="13"/>
      <c r="W124" s="13"/>
      <c r="X124" s="14"/>
    </row>
    <row r="125" spans="1:24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21"/>
      <c r="L125" s="11"/>
      <c r="M125" s="21"/>
      <c r="N125" s="11"/>
      <c r="O125" s="9"/>
      <c r="P125" s="9"/>
      <c r="Q125" s="9"/>
      <c r="R125" s="9"/>
      <c r="S125" s="23"/>
      <c r="T125" s="23"/>
      <c r="U125" s="24"/>
      <c r="V125" s="13"/>
      <c r="W125" s="13"/>
      <c r="X125" s="14"/>
    </row>
    <row r="126" spans="1:24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21"/>
      <c r="L126" s="11"/>
      <c r="M126" s="21"/>
      <c r="N126" s="11"/>
      <c r="O126" s="9"/>
      <c r="P126" s="9"/>
      <c r="Q126" s="9"/>
      <c r="R126" s="9"/>
      <c r="S126" s="23"/>
      <c r="T126" s="23"/>
      <c r="U126" s="24"/>
      <c r="V126" s="13"/>
      <c r="W126" s="13"/>
      <c r="X126" s="14"/>
    </row>
    <row r="127" spans="1:24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21"/>
      <c r="L127" s="11"/>
      <c r="M127" s="21"/>
      <c r="N127" s="11"/>
      <c r="O127" s="9"/>
      <c r="P127" s="9"/>
      <c r="Q127" s="9"/>
      <c r="R127" s="9"/>
      <c r="S127" s="23"/>
      <c r="T127" s="23"/>
      <c r="U127" s="24"/>
      <c r="V127" s="13"/>
      <c r="W127" s="13"/>
      <c r="X127" s="14"/>
    </row>
    <row r="128" spans="1:24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21"/>
      <c r="L128" s="11"/>
      <c r="M128" s="21"/>
      <c r="N128" s="11"/>
      <c r="O128" s="9"/>
      <c r="P128" s="9"/>
      <c r="Q128" s="9"/>
      <c r="R128" s="9"/>
      <c r="S128" s="23"/>
      <c r="T128" s="23"/>
      <c r="U128" s="24"/>
      <c r="V128" s="13"/>
      <c r="W128" s="13"/>
      <c r="X128" s="14"/>
    </row>
    <row r="129" spans="1:24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21"/>
      <c r="L129" s="11"/>
      <c r="M129" s="21"/>
      <c r="N129" s="11"/>
      <c r="O129" s="9"/>
      <c r="P129" s="9"/>
      <c r="Q129" s="9"/>
      <c r="R129" s="9"/>
      <c r="S129" s="23"/>
      <c r="T129" s="23"/>
      <c r="U129" s="24"/>
      <c r="V129" s="13"/>
      <c r="W129" s="13"/>
      <c r="X129" s="14"/>
    </row>
    <row r="130" spans="1:24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21"/>
      <c r="L130" s="11"/>
      <c r="M130" s="21"/>
      <c r="N130" s="11"/>
      <c r="O130" s="9"/>
      <c r="P130" s="9"/>
      <c r="Q130" s="9"/>
      <c r="R130" s="9"/>
      <c r="S130" s="23"/>
      <c r="T130" s="23"/>
      <c r="U130" s="24"/>
      <c r="V130" s="13"/>
      <c r="W130" s="13"/>
      <c r="X130" s="14"/>
    </row>
    <row r="131" spans="1:24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21"/>
      <c r="L131" s="11"/>
      <c r="M131" s="21"/>
      <c r="N131" s="11"/>
      <c r="O131" s="9"/>
      <c r="P131" s="9"/>
      <c r="Q131" s="9"/>
      <c r="R131" s="9"/>
      <c r="S131" s="23"/>
      <c r="T131" s="23"/>
      <c r="U131" s="24"/>
      <c r="V131" s="13"/>
      <c r="W131" s="13"/>
      <c r="X131" s="14"/>
    </row>
    <row r="132" spans="1:24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21"/>
      <c r="L132" s="11"/>
      <c r="M132" s="21"/>
      <c r="N132" s="11"/>
      <c r="O132" s="9"/>
      <c r="P132" s="9"/>
      <c r="Q132" s="9"/>
      <c r="R132" s="9"/>
      <c r="S132" s="23"/>
      <c r="T132" s="23"/>
      <c r="U132" s="24"/>
      <c r="V132" s="13"/>
      <c r="W132" s="13"/>
      <c r="X132" s="14"/>
    </row>
    <row r="133" spans="1:24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21"/>
      <c r="L133" s="11"/>
      <c r="M133" s="21"/>
      <c r="N133" s="11"/>
      <c r="O133" s="9"/>
      <c r="P133" s="9"/>
      <c r="Q133" s="9"/>
      <c r="R133" s="9"/>
      <c r="S133" s="23"/>
      <c r="T133" s="23"/>
      <c r="U133" s="24"/>
      <c r="V133" s="13"/>
      <c r="W133" s="13"/>
      <c r="X133" s="14"/>
    </row>
    <row r="134" spans="1:2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21"/>
      <c r="L134" s="11"/>
      <c r="M134" s="21"/>
      <c r="N134" s="11"/>
      <c r="O134" s="9"/>
      <c r="P134" s="9"/>
      <c r="Q134" s="9"/>
      <c r="R134" s="9"/>
      <c r="S134" s="23"/>
      <c r="T134" s="23"/>
      <c r="U134" s="24"/>
      <c r="V134" s="13"/>
      <c r="W134" s="13"/>
      <c r="X134" s="14"/>
    </row>
    <row r="135" spans="1:24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21"/>
      <c r="L135" s="11"/>
      <c r="M135" s="21"/>
      <c r="N135" s="11"/>
      <c r="O135" s="9"/>
      <c r="P135" s="9"/>
      <c r="Q135" s="9"/>
      <c r="R135" s="9"/>
      <c r="S135" s="23"/>
      <c r="T135" s="23"/>
      <c r="U135" s="24"/>
      <c r="V135" s="13"/>
      <c r="W135" s="13"/>
      <c r="X135" s="14"/>
    </row>
    <row r="136" spans="1:24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21"/>
      <c r="L136" s="11"/>
      <c r="M136" s="21"/>
      <c r="N136" s="11"/>
      <c r="O136" s="9"/>
      <c r="P136" s="9"/>
      <c r="Q136" s="9"/>
      <c r="R136" s="9"/>
      <c r="S136" s="23"/>
      <c r="T136" s="23"/>
      <c r="U136" s="24"/>
      <c r="V136" s="13"/>
      <c r="W136" s="13"/>
      <c r="X136" s="14"/>
    </row>
    <row r="137" spans="1:24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21"/>
      <c r="L137" s="11"/>
      <c r="M137" s="21"/>
      <c r="N137" s="11"/>
      <c r="O137" s="9"/>
      <c r="P137" s="9"/>
      <c r="Q137" s="9"/>
      <c r="R137" s="9"/>
      <c r="S137" s="23"/>
      <c r="T137" s="23"/>
      <c r="U137" s="24"/>
      <c r="V137" s="13"/>
      <c r="W137" s="13"/>
      <c r="X137" s="14"/>
    </row>
    <row r="138" spans="1:24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21"/>
      <c r="L138" s="11"/>
      <c r="M138" s="21"/>
      <c r="N138" s="11"/>
      <c r="O138" s="9"/>
      <c r="P138" s="9"/>
      <c r="Q138" s="9"/>
      <c r="R138" s="9"/>
      <c r="S138" s="23"/>
      <c r="T138" s="23"/>
      <c r="U138" s="24"/>
      <c r="V138" s="13"/>
      <c r="W138" s="13"/>
      <c r="X138" s="14"/>
    </row>
    <row r="139" spans="1:24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21"/>
      <c r="L139" s="11"/>
      <c r="M139" s="21"/>
      <c r="N139" s="11"/>
      <c r="O139" s="9"/>
      <c r="P139" s="9"/>
      <c r="Q139" s="9"/>
      <c r="R139" s="9"/>
      <c r="S139" s="23"/>
      <c r="T139" s="23"/>
      <c r="U139" s="24"/>
      <c r="V139" s="13"/>
      <c r="W139" s="13"/>
      <c r="X139" s="14"/>
    </row>
    <row r="140" spans="1:24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21"/>
      <c r="L140" s="11"/>
      <c r="M140" s="21"/>
      <c r="N140" s="11"/>
      <c r="O140" s="9"/>
      <c r="P140" s="9"/>
      <c r="Q140" s="9"/>
      <c r="R140" s="9"/>
      <c r="S140" s="23"/>
      <c r="T140" s="23"/>
      <c r="U140" s="24"/>
      <c r="V140" s="13"/>
      <c r="W140" s="13"/>
      <c r="X140" s="14"/>
    </row>
    <row r="141" spans="1:24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21"/>
      <c r="L141" s="11"/>
      <c r="M141" s="21"/>
      <c r="N141" s="11"/>
      <c r="O141" s="9"/>
      <c r="P141" s="9"/>
      <c r="Q141" s="9"/>
      <c r="R141" s="9"/>
      <c r="S141" s="23"/>
      <c r="T141" s="23"/>
      <c r="U141" s="24"/>
      <c r="V141" s="13"/>
      <c r="W141" s="13"/>
      <c r="X141" s="14"/>
    </row>
    <row r="142" spans="1:24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21"/>
      <c r="L142" s="11"/>
      <c r="M142" s="21"/>
      <c r="N142" s="11"/>
      <c r="O142" s="9"/>
      <c r="P142" s="9"/>
      <c r="Q142" s="9"/>
      <c r="R142" s="9"/>
      <c r="S142" s="23"/>
      <c r="T142" s="23"/>
      <c r="U142" s="24"/>
      <c r="V142" s="13"/>
      <c r="W142" s="13"/>
      <c r="X142" s="14"/>
    </row>
    <row r="143" spans="1:24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21"/>
      <c r="L143" s="11"/>
      <c r="M143" s="21"/>
      <c r="N143" s="11"/>
      <c r="O143" s="9"/>
      <c r="P143" s="9"/>
      <c r="Q143" s="9"/>
      <c r="R143" s="9"/>
      <c r="S143" s="23"/>
      <c r="T143" s="23"/>
      <c r="U143" s="24"/>
      <c r="V143" s="13"/>
      <c r="W143" s="13"/>
      <c r="X143" s="14"/>
    </row>
    <row r="144" spans="1:2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21"/>
      <c r="L144" s="11"/>
      <c r="M144" s="21"/>
      <c r="N144" s="11"/>
      <c r="O144" s="9"/>
      <c r="P144" s="9"/>
      <c r="Q144" s="9"/>
      <c r="R144" s="9"/>
      <c r="S144" s="23"/>
      <c r="T144" s="23"/>
      <c r="U144" s="24"/>
      <c r="V144" s="13"/>
      <c r="W144" s="13"/>
      <c r="X144" s="14"/>
    </row>
    <row r="145" spans="1:24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21"/>
      <c r="L145" s="11"/>
      <c r="M145" s="21"/>
      <c r="N145" s="11"/>
      <c r="O145" s="9"/>
      <c r="P145" s="9"/>
      <c r="Q145" s="9"/>
      <c r="R145" s="9"/>
      <c r="S145" s="23"/>
      <c r="T145" s="23"/>
      <c r="U145" s="24"/>
      <c r="V145" s="13"/>
      <c r="W145" s="13"/>
      <c r="X145" s="14"/>
    </row>
    <row r="146" spans="1:24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21"/>
      <c r="L146" s="11"/>
      <c r="M146" s="21"/>
      <c r="N146" s="11"/>
      <c r="O146" s="9"/>
      <c r="P146" s="9"/>
      <c r="Q146" s="9"/>
      <c r="R146" s="9"/>
      <c r="S146" s="23"/>
      <c r="T146" s="23"/>
      <c r="U146" s="24"/>
      <c r="V146" s="13"/>
      <c r="W146" s="13"/>
      <c r="X146" s="14"/>
    </row>
    <row r="147" spans="1:24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21"/>
      <c r="L147" s="11"/>
      <c r="M147" s="21"/>
      <c r="N147" s="11"/>
      <c r="O147" s="9"/>
      <c r="P147" s="9"/>
      <c r="Q147" s="9"/>
      <c r="R147" s="9"/>
      <c r="S147" s="23"/>
      <c r="T147" s="23"/>
      <c r="U147" s="24"/>
      <c r="V147" s="13"/>
      <c r="W147" s="13"/>
      <c r="X147" s="14"/>
    </row>
    <row r="148" spans="1:24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21"/>
      <c r="L148" s="11"/>
      <c r="M148" s="21"/>
      <c r="N148" s="11"/>
      <c r="O148" s="9"/>
      <c r="P148" s="9"/>
      <c r="Q148" s="9"/>
      <c r="R148" s="9"/>
      <c r="S148" s="23"/>
      <c r="T148" s="23"/>
      <c r="U148" s="24"/>
      <c r="V148" s="13"/>
      <c r="W148" s="13"/>
      <c r="X148" s="14"/>
    </row>
    <row r="149" spans="1:24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21"/>
      <c r="L149" s="11"/>
      <c r="M149" s="21"/>
      <c r="N149" s="11"/>
      <c r="O149" s="9"/>
      <c r="P149" s="9"/>
      <c r="Q149" s="9"/>
      <c r="R149" s="9"/>
      <c r="S149" s="23"/>
      <c r="T149" s="23"/>
      <c r="U149" s="24"/>
      <c r="V149" s="13"/>
      <c r="W149" s="13"/>
      <c r="X149" s="14"/>
    </row>
    <row r="150" spans="1:24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21"/>
      <c r="L150" s="11"/>
      <c r="M150" s="21"/>
      <c r="N150" s="11"/>
      <c r="O150" s="9"/>
      <c r="P150" s="9"/>
      <c r="Q150" s="9"/>
      <c r="R150" s="9"/>
      <c r="S150" s="23"/>
      <c r="T150" s="23"/>
      <c r="U150" s="24"/>
      <c r="V150" s="13"/>
      <c r="W150" s="13"/>
      <c r="X150" s="14"/>
    </row>
    <row r="151" spans="1:24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21"/>
      <c r="L151" s="11"/>
      <c r="M151" s="21"/>
      <c r="N151" s="11"/>
      <c r="O151" s="9"/>
      <c r="P151" s="9"/>
      <c r="Q151" s="9"/>
      <c r="R151" s="9"/>
      <c r="S151" s="23"/>
      <c r="T151" s="23"/>
      <c r="U151" s="24"/>
      <c r="V151" s="13"/>
      <c r="W151" s="13"/>
      <c r="X151" s="14"/>
    </row>
    <row r="152" spans="1:24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21"/>
      <c r="L152" s="11"/>
      <c r="M152" s="21"/>
      <c r="N152" s="11"/>
      <c r="O152" s="9"/>
      <c r="P152" s="9"/>
      <c r="Q152" s="9"/>
      <c r="R152" s="9"/>
      <c r="S152" s="23"/>
      <c r="T152" s="23"/>
      <c r="U152" s="24"/>
      <c r="V152" s="13"/>
      <c r="W152" s="13"/>
      <c r="X152" s="14"/>
    </row>
    <row r="153" spans="1:24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21"/>
      <c r="L153" s="11"/>
      <c r="M153" s="21"/>
      <c r="N153" s="11"/>
      <c r="O153" s="9"/>
      <c r="P153" s="9"/>
      <c r="Q153" s="9"/>
      <c r="R153" s="9"/>
      <c r="S153" s="23"/>
      <c r="T153" s="23"/>
      <c r="U153" s="24"/>
      <c r="V153" s="13"/>
      <c r="W153" s="13"/>
      <c r="X153" s="14"/>
    </row>
    <row r="154" spans="1:2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21"/>
      <c r="L154" s="11"/>
      <c r="M154" s="21"/>
      <c r="N154" s="11"/>
      <c r="O154" s="9"/>
      <c r="P154" s="9"/>
      <c r="Q154" s="9"/>
      <c r="R154" s="9"/>
      <c r="S154" s="23"/>
      <c r="T154" s="23"/>
      <c r="U154" s="24"/>
      <c r="V154" s="13"/>
      <c r="W154" s="13"/>
      <c r="X154" s="14"/>
    </row>
    <row r="155" spans="1:24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21"/>
      <c r="L155" s="11"/>
      <c r="M155" s="21"/>
      <c r="N155" s="11"/>
      <c r="O155" s="9"/>
      <c r="P155" s="9"/>
      <c r="Q155" s="9"/>
      <c r="R155" s="9"/>
      <c r="S155" s="23"/>
      <c r="T155" s="23"/>
      <c r="U155" s="24"/>
      <c r="V155" s="13"/>
      <c r="W155" s="13"/>
      <c r="X155" s="14"/>
    </row>
    <row r="156" spans="1:24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21"/>
      <c r="L156" s="11"/>
      <c r="M156" s="21"/>
      <c r="N156" s="11"/>
      <c r="O156" s="9"/>
      <c r="P156" s="9"/>
      <c r="Q156" s="9"/>
      <c r="R156" s="9"/>
      <c r="S156" s="23"/>
      <c r="T156" s="23"/>
      <c r="U156" s="24"/>
      <c r="V156" s="13"/>
      <c r="W156" s="13"/>
      <c r="X156" s="14"/>
    </row>
    <row r="157" spans="1:24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21"/>
      <c r="L157" s="11"/>
      <c r="M157" s="21"/>
      <c r="N157" s="11"/>
      <c r="O157" s="9"/>
      <c r="P157" s="9"/>
      <c r="Q157" s="9"/>
      <c r="R157" s="9"/>
      <c r="S157" s="23"/>
      <c r="T157" s="23"/>
      <c r="U157" s="24"/>
      <c r="V157" s="13"/>
      <c r="W157" s="13"/>
      <c r="X157" s="14"/>
    </row>
    <row r="158" spans="1:24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21"/>
      <c r="L158" s="11"/>
      <c r="M158" s="21"/>
      <c r="N158" s="11"/>
      <c r="O158" s="9"/>
      <c r="P158" s="9"/>
      <c r="Q158" s="9"/>
      <c r="R158" s="9"/>
      <c r="S158" s="23"/>
      <c r="T158" s="23"/>
      <c r="U158" s="24"/>
      <c r="V158" s="13"/>
      <c r="W158" s="13"/>
      <c r="X158" s="14"/>
    </row>
    <row r="159" spans="1:24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21"/>
      <c r="L159" s="11"/>
      <c r="M159" s="21"/>
      <c r="N159" s="11"/>
      <c r="O159" s="9"/>
      <c r="P159" s="9"/>
      <c r="Q159" s="9"/>
      <c r="R159" s="9"/>
      <c r="S159" s="23"/>
      <c r="T159" s="23"/>
      <c r="U159" s="24"/>
      <c r="V159" s="13"/>
      <c r="W159" s="13"/>
      <c r="X159" s="14"/>
    </row>
    <row r="160" spans="1:24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21"/>
      <c r="L160" s="11"/>
      <c r="M160" s="21"/>
      <c r="N160" s="11"/>
      <c r="O160" s="9"/>
      <c r="P160" s="9"/>
      <c r="Q160" s="9"/>
      <c r="R160" s="9"/>
      <c r="S160" s="23"/>
      <c r="T160" s="23"/>
      <c r="U160" s="24"/>
      <c r="V160" s="13"/>
      <c r="W160" s="13"/>
      <c r="X160" s="14"/>
    </row>
    <row r="161" spans="1:24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21"/>
      <c r="L161" s="11"/>
      <c r="M161" s="21"/>
      <c r="N161" s="11"/>
      <c r="O161" s="9"/>
      <c r="P161" s="9"/>
      <c r="Q161" s="9"/>
      <c r="R161" s="9"/>
      <c r="S161" s="23"/>
      <c r="T161" s="23"/>
      <c r="U161" s="24"/>
      <c r="V161" s="13"/>
      <c r="W161" s="13"/>
      <c r="X161" s="14"/>
    </row>
    <row r="162" spans="1:24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21"/>
      <c r="L162" s="11"/>
      <c r="M162" s="21"/>
      <c r="N162" s="11"/>
      <c r="O162" s="9"/>
      <c r="P162" s="9"/>
      <c r="Q162" s="9"/>
      <c r="R162" s="9"/>
      <c r="S162" s="23"/>
      <c r="T162" s="23"/>
      <c r="U162" s="24"/>
      <c r="V162" s="13"/>
      <c r="W162" s="13"/>
      <c r="X162" s="14"/>
    </row>
    <row r="163" spans="1:24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21"/>
      <c r="L163" s="11"/>
      <c r="M163" s="21"/>
      <c r="N163" s="11"/>
      <c r="O163" s="9"/>
      <c r="P163" s="9"/>
      <c r="Q163" s="9"/>
      <c r="R163" s="9"/>
      <c r="S163" s="23"/>
      <c r="T163" s="23"/>
      <c r="U163" s="24"/>
      <c r="V163" s="13"/>
      <c r="W163" s="13"/>
      <c r="X163" s="14"/>
    </row>
    <row r="164" spans="1:2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21"/>
      <c r="L164" s="11"/>
      <c r="M164" s="21"/>
      <c r="N164" s="11"/>
      <c r="O164" s="9"/>
      <c r="P164" s="9"/>
      <c r="Q164" s="9"/>
      <c r="R164" s="9"/>
      <c r="S164" s="23"/>
      <c r="T164" s="23"/>
      <c r="U164" s="24"/>
      <c r="V164" s="13"/>
      <c r="W164" s="13"/>
      <c r="X164" s="14"/>
    </row>
    <row r="165" spans="1:24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21"/>
      <c r="L165" s="11"/>
      <c r="M165" s="21"/>
      <c r="N165" s="11"/>
      <c r="O165" s="9"/>
      <c r="P165" s="9"/>
      <c r="Q165" s="9"/>
      <c r="R165" s="9"/>
      <c r="S165" s="23"/>
      <c r="T165" s="23"/>
      <c r="U165" s="24"/>
      <c r="V165" s="13"/>
      <c r="W165" s="13"/>
      <c r="X165" s="14"/>
    </row>
    <row r="166" spans="1:24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21"/>
      <c r="L166" s="11"/>
      <c r="M166" s="21"/>
      <c r="N166" s="11"/>
      <c r="O166" s="9"/>
      <c r="P166" s="9"/>
      <c r="Q166" s="9"/>
      <c r="R166" s="9"/>
      <c r="S166" s="23"/>
      <c r="T166" s="23"/>
      <c r="U166" s="24"/>
      <c r="V166" s="13"/>
      <c r="W166" s="13"/>
      <c r="X166" s="14"/>
    </row>
    <row r="167" spans="1:24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21"/>
      <c r="L167" s="11"/>
      <c r="M167" s="21"/>
      <c r="N167" s="11"/>
      <c r="O167" s="9"/>
      <c r="P167" s="9"/>
      <c r="Q167" s="9"/>
      <c r="R167" s="9"/>
      <c r="S167" s="23"/>
      <c r="T167" s="23"/>
      <c r="U167" s="24"/>
      <c r="V167" s="13"/>
      <c r="W167" s="13"/>
      <c r="X167" s="14"/>
    </row>
    <row r="168" spans="1:24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21"/>
      <c r="L168" s="11"/>
      <c r="M168" s="21"/>
      <c r="N168" s="11"/>
      <c r="O168" s="9"/>
      <c r="P168" s="9"/>
      <c r="Q168" s="9"/>
      <c r="R168" s="9"/>
      <c r="S168" s="23"/>
      <c r="T168" s="23"/>
      <c r="U168" s="24"/>
      <c r="V168" s="13"/>
      <c r="W168" s="13"/>
      <c r="X168" s="14"/>
    </row>
    <row r="169" spans="1:24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21"/>
      <c r="L169" s="11"/>
      <c r="M169" s="21"/>
      <c r="N169" s="11"/>
      <c r="O169" s="9"/>
      <c r="P169" s="9"/>
      <c r="Q169" s="9"/>
      <c r="R169" s="9"/>
      <c r="S169" s="23"/>
      <c r="T169" s="23"/>
      <c r="U169" s="24"/>
      <c r="V169" s="13"/>
      <c r="W169" s="13"/>
      <c r="X169" s="14"/>
    </row>
    <row r="170" spans="1:24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21"/>
      <c r="L170" s="11"/>
      <c r="M170" s="21"/>
      <c r="N170" s="11"/>
      <c r="O170" s="9"/>
      <c r="P170" s="9"/>
      <c r="Q170" s="9"/>
      <c r="R170" s="9"/>
      <c r="S170" s="23"/>
      <c r="T170" s="23"/>
      <c r="U170" s="24"/>
      <c r="V170" s="13"/>
      <c r="W170" s="13"/>
      <c r="X170" s="14"/>
    </row>
    <row r="171" spans="1:24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21"/>
      <c r="L171" s="11"/>
      <c r="M171" s="21"/>
      <c r="N171" s="11"/>
      <c r="O171" s="9"/>
      <c r="P171" s="9"/>
      <c r="Q171" s="9"/>
      <c r="R171" s="9"/>
      <c r="S171" s="23"/>
      <c r="T171" s="23"/>
      <c r="U171" s="24"/>
      <c r="V171" s="13"/>
      <c r="W171" s="13"/>
      <c r="X171" s="14"/>
    </row>
    <row r="172" spans="1:24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21"/>
      <c r="L172" s="11"/>
      <c r="M172" s="21"/>
      <c r="N172" s="11"/>
      <c r="O172" s="9"/>
      <c r="P172" s="9"/>
      <c r="Q172" s="9"/>
      <c r="R172" s="9"/>
      <c r="S172" s="23"/>
      <c r="T172" s="23"/>
      <c r="U172" s="24"/>
      <c r="V172" s="13"/>
      <c r="W172" s="13"/>
      <c r="X172" s="14"/>
    </row>
    <row r="173" spans="1:24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21"/>
      <c r="L173" s="11"/>
      <c r="M173" s="21"/>
      <c r="N173" s="11"/>
      <c r="O173" s="9"/>
      <c r="P173" s="9"/>
      <c r="Q173" s="9"/>
      <c r="R173" s="9"/>
      <c r="S173" s="23"/>
      <c r="T173" s="23"/>
      <c r="U173" s="24"/>
      <c r="V173" s="13"/>
      <c r="W173" s="13"/>
      <c r="X173" s="14"/>
    </row>
    <row r="174" spans="1:2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21"/>
      <c r="L174" s="11"/>
      <c r="M174" s="21"/>
      <c r="N174" s="11"/>
      <c r="O174" s="9"/>
      <c r="P174" s="9"/>
      <c r="Q174" s="9"/>
      <c r="R174" s="9"/>
      <c r="S174" s="23"/>
      <c r="T174" s="23"/>
      <c r="U174" s="24"/>
      <c r="V174" s="13"/>
      <c r="W174" s="13"/>
      <c r="X174" s="14"/>
    </row>
    <row r="175" spans="1:24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21"/>
      <c r="L175" s="11"/>
      <c r="M175" s="21"/>
      <c r="N175" s="11"/>
      <c r="O175" s="9"/>
      <c r="P175" s="9"/>
      <c r="Q175" s="9"/>
      <c r="R175" s="9"/>
      <c r="S175" s="23"/>
      <c r="T175" s="23"/>
      <c r="U175" s="24"/>
      <c r="V175" s="13"/>
      <c r="W175" s="13"/>
      <c r="X175" s="14"/>
    </row>
    <row r="176" spans="1:24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21"/>
      <c r="L176" s="11"/>
      <c r="M176" s="21"/>
      <c r="N176" s="11"/>
      <c r="O176" s="9"/>
      <c r="P176" s="9"/>
      <c r="Q176" s="9"/>
      <c r="R176" s="9"/>
      <c r="S176" s="23"/>
      <c r="T176" s="23"/>
      <c r="U176" s="24"/>
      <c r="V176" s="13"/>
      <c r="W176" s="13"/>
      <c r="X176" s="14"/>
    </row>
    <row r="177" spans="1:24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21"/>
      <c r="L177" s="11"/>
      <c r="M177" s="21"/>
      <c r="N177" s="11"/>
      <c r="O177" s="9"/>
      <c r="P177" s="9"/>
      <c r="Q177" s="9"/>
      <c r="R177" s="9"/>
      <c r="S177" s="23"/>
      <c r="T177" s="23"/>
      <c r="U177" s="24"/>
      <c r="V177" s="13"/>
      <c r="W177" s="13"/>
      <c r="X177" s="14"/>
    </row>
    <row r="178" spans="1:24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21"/>
      <c r="L178" s="11"/>
      <c r="M178" s="21"/>
      <c r="N178" s="11"/>
      <c r="O178" s="9"/>
      <c r="P178" s="9"/>
      <c r="Q178" s="9"/>
      <c r="R178" s="9"/>
      <c r="S178" s="23"/>
      <c r="T178" s="23"/>
      <c r="U178" s="24"/>
      <c r="V178" s="13"/>
      <c r="W178" s="13"/>
      <c r="X178" s="14"/>
    </row>
    <row r="179" spans="1:24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21"/>
      <c r="L179" s="11"/>
      <c r="M179" s="21"/>
      <c r="N179" s="11"/>
      <c r="O179" s="9"/>
      <c r="P179" s="9"/>
      <c r="Q179" s="9"/>
      <c r="R179" s="9"/>
      <c r="S179" s="23"/>
      <c r="T179" s="23"/>
      <c r="U179" s="24"/>
      <c r="V179" s="13"/>
      <c r="W179" s="13"/>
      <c r="X179" s="14"/>
    </row>
    <row r="180" spans="1:24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21"/>
      <c r="L180" s="11"/>
      <c r="M180" s="21"/>
      <c r="N180" s="11"/>
      <c r="O180" s="9"/>
      <c r="P180" s="9"/>
      <c r="Q180" s="9"/>
      <c r="R180" s="9"/>
      <c r="S180" s="23"/>
      <c r="T180" s="23"/>
      <c r="U180" s="24"/>
      <c r="V180" s="13"/>
      <c r="W180" s="13"/>
      <c r="X180" s="14"/>
    </row>
    <row r="181" spans="1:24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21"/>
      <c r="L181" s="11"/>
      <c r="M181" s="21"/>
      <c r="N181" s="11"/>
      <c r="O181" s="9"/>
      <c r="P181" s="9"/>
      <c r="Q181" s="9"/>
      <c r="R181" s="9"/>
      <c r="S181" s="23"/>
      <c r="T181" s="23"/>
      <c r="U181" s="24"/>
      <c r="V181" s="13"/>
      <c r="W181" s="13"/>
      <c r="X181" s="14"/>
    </row>
    <row r="182" spans="1:24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21"/>
      <c r="L182" s="11"/>
      <c r="M182" s="21"/>
      <c r="N182" s="11"/>
      <c r="O182" s="9"/>
      <c r="P182" s="9"/>
      <c r="Q182" s="9"/>
      <c r="R182" s="9"/>
      <c r="S182" s="23"/>
      <c r="T182" s="23"/>
      <c r="U182" s="24"/>
      <c r="V182" s="13"/>
      <c r="W182" s="13"/>
      <c r="X182" s="14"/>
    </row>
    <row r="183" spans="1:24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21"/>
      <c r="L183" s="11"/>
      <c r="M183" s="21"/>
      <c r="N183" s="11"/>
      <c r="O183" s="9"/>
      <c r="P183" s="9"/>
      <c r="Q183" s="9"/>
      <c r="R183" s="9"/>
      <c r="S183" s="23"/>
      <c r="T183" s="23"/>
      <c r="U183" s="24"/>
      <c r="V183" s="13"/>
      <c r="W183" s="13"/>
      <c r="X183" s="14"/>
    </row>
    <row r="184" spans="1:2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21"/>
      <c r="L184" s="11"/>
      <c r="M184" s="21"/>
      <c r="N184" s="11"/>
      <c r="O184" s="9"/>
      <c r="P184" s="9"/>
      <c r="Q184" s="9"/>
      <c r="R184" s="9"/>
      <c r="S184" s="23"/>
      <c r="T184" s="23"/>
      <c r="U184" s="24"/>
      <c r="V184" s="13"/>
      <c r="W184" s="13"/>
      <c r="X184" s="14"/>
    </row>
    <row r="185" spans="1:24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21"/>
      <c r="L185" s="11"/>
      <c r="M185" s="21"/>
      <c r="N185" s="11"/>
      <c r="O185" s="9"/>
      <c r="P185" s="9"/>
      <c r="Q185" s="9"/>
      <c r="R185" s="9"/>
      <c r="S185" s="23"/>
      <c r="T185" s="23"/>
      <c r="U185" s="24"/>
      <c r="V185" s="13"/>
      <c r="W185" s="13"/>
      <c r="X185" s="14"/>
    </row>
    <row r="186" spans="1:24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21"/>
      <c r="L186" s="11"/>
      <c r="M186" s="21"/>
      <c r="N186" s="11"/>
      <c r="O186" s="9"/>
      <c r="P186" s="9"/>
      <c r="Q186" s="9"/>
      <c r="R186" s="9"/>
      <c r="S186" s="23"/>
      <c r="T186" s="23"/>
      <c r="U186" s="24"/>
      <c r="V186" s="13"/>
      <c r="W186" s="13"/>
      <c r="X186" s="14"/>
    </row>
    <row r="187" spans="1:24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21"/>
      <c r="L187" s="11"/>
      <c r="M187" s="21"/>
      <c r="N187" s="11"/>
      <c r="O187" s="9"/>
      <c r="P187" s="9"/>
      <c r="Q187" s="9"/>
      <c r="R187" s="9"/>
      <c r="S187" s="23"/>
      <c r="T187" s="23"/>
      <c r="U187" s="24"/>
      <c r="V187" s="13"/>
      <c r="W187" s="13"/>
      <c r="X187" s="14"/>
    </row>
    <row r="188" spans="1:24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21"/>
      <c r="L188" s="11"/>
      <c r="M188" s="21"/>
      <c r="N188" s="11"/>
      <c r="O188" s="9"/>
      <c r="P188" s="9"/>
      <c r="Q188" s="9"/>
      <c r="R188" s="9"/>
      <c r="S188" s="23"/>
      <c r="T188" s="23"/>
      <c r="U188" s="24"/>
      <c r="V188" s="13"/>
      <c r="W188" s="13"/>
      <c r="X188" s="14"/>
    </row>
    <row r="189" spans="1:24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21"/>
      <c r="L189" s="11"/>
      <c r="M189" s="21"/>
      <c r="N189" s="11"/>
      <c r="O189" s="9"/>
      <c r="P189" s="9"/>
      <c r="Q189" s="9"/>
      <c r="R189" s="9"/>
      <c r="S189" s="23"/>
      <c r="T189" s="23"/>
      <c r="U189" s="24"/>
      <c r="V189" s="13"/>
      <c r="W189" s="13"/>
      <c r="X189" s="14"/>
    </row>
    <row r="190" spans="1:24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21"/>
      <c r="L190" s="11"/>
      <c r="M190" s="21"/>
      <c r="N190" s="11"/>
      <c r="O190" s="9"/>
      <c r="P190" s="9"/>
      <c r="Q190" s="9"/>
      <c r="R190" s="9"/>
      <c r="S190" s="23"/>
      <c r="T190" s="23"/>
      <c r="U190" s="24"/>
      <c r="V190" s="13"/>
      <c r="W190" s="13"/>
      <c r="X190" s="14"/>
    </row>
    <row r="191" spans="1:24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21"/>
      <c r="L191" s="11"/>
      <c r="M191" s="21"/>
      <c r="N191" s="11"/>
      <c r="O191" s="9"/>
      <c r="P191" s="9"/>
      <c r="Q191" s="9"/>
      <c r="R191" s="9"/>
      <c r="S191" s="23"/>
      <c r="T191" s="23"/>
      <c r="U191" s="24"/>
      <c r="V191" s="13"/>
      <c r="W191" s="13"/>
      <c r="X191" s="14"/>
    </row>
    <row r="192" spans="1:24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21"/>
      <c r="L192" s="11"/>
      <c r="M192" s="21"/>
      <c r="N192" s="11"/>
      <c r="O192" s="9"/>
      <c r="P192" s="9"/>
      <c r="Q192" s="9"/>
      <c r="R192" s="9"/>
      <c r="S192" s="23"/>
      <c r="T192" s="23"/>
      <c r="U192" s="24"/>
      <c r="V192" s="13"/>
      <c r="W192" s="13"/>
      <c r="X192" s="14"/>
    </row>
    <row r="193" spans="1:2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21"/>
      <c r="L193" s="11"/>
      <c r="M193" s="21"/>
      <c r="N193" s="11"/>
      <c r="O193" s="9"/>
      <c r="P193" s="9"/>
      <c r="Q193" s="9"/>
      <c r="R193" s="9"/>
      <c r="S193" s="23"/>
      <c r="T193" s="23"/>
      <c r="U193" s="24"/>
      <c r="V193" s="13"/>
      <c r="W193" s="13"/>
      <c r="X193" s="14"/>
    </row>
    <row r="194" spans="1:2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21"/>
      <c r="L194" s="11"/>
      <c r="M194" s="21"/>
      <c r="N194" s="11"/>
      <c r="O194" s="9"/>
      <c r="P194" s="9"/>
      <c r="Q194" s="9"/>
      <c r="R194" s="9"/>
      <c r="S194" s="23"/>
      <c r="T194" s="23"/>
      <c r="U194" s="24"/>
      <c r="V194" s="13"/>
      <c r="W194" s="13"/>
      <c r="X194" s="14"/>
    </row>
    <row r="195" spans="1:2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21"/>
      <c r="L195" s="11"/>
      <c r="M195" s="21"/>
      <c r="N195" s="11"/>
      <c r="O195" s="9"/>
      <c r="P195" s="9"/>
      <c r="Q195" s="9"/>
      <c r="R195" s="9"/>
      <c r="S195" s="23"/>
      <c r="T195" s="23"/>
      <c r="U195" s="24"/>
      <c r="V195" s="13"/>
      <c r="W195" s="13"/>
      <c r="X195" s="14"/>
    </row>
    <row r="196" spans="1:2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21"/>
      <c r="L196" s="11"/>
      <c r="M196" s="21"/>
      <c r="N196" s="11"/>
      <c r="O196" s="9"/>
      <c r="P196" s="9"/>
      <c r="Q196" s="9"/>
      <c r="R196" s="9"/>
      <c r="S196" s="23"/>
      <c r="T196" s="23"/>
      <c r="U196" s="24"/>
      <c r="V196" s="13"/>
      <c r="W196" s="13"/>
      <c r="X196" s="14"/>
    </row>
    <row r="197" spans="1:2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21"/>
      <c r="L197" s="11"/>
      <c r="M197" s="21"/>
      <c r="N197" s="11"/>
      <c r="O197" s="9"/>
      <c r="P197" s="9"/>
      <c r="Q197" s="9"/>
      <c r="R197" s="9"/>
      <c r="S197" s="23"/>
      <c r="T197" s="23"/>
      <c r="U197" s="24"/>
      <c r="V197" s="13"/>
      <c r="W197" s="13"/>
      <c r="X197" s="14"/>
    </row>
    <row r="198" spans="1:2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21"/>
      <c r="L198" s="11"/>
      <c r="M198" s="21"/>
      <c r="N198" s="11"/>
      <c r="O198" s="9"/>
      <c r="P198" s="9"/>
      <c r="Q198" s="9"/>
      <c r="R198" s="9"/>
      <c r="S198" s="23"/>
      <c r="T198" s="23"/>
      <c r="U198" s="24"/>
      <c r="V198" s="13"/>
      <c r="W198" s="13"/>
      <c r="X198" s="14"/>
    </row>
    <row r="199" spans="1:2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21"/>
      <c r="L199" s="11"/>
      <c r="M199" s="21"/>
      <c r="N199" s="11"/>
      <c r="O199" s="9"/>
      <c r="P199" s="9"/>
      <c r="Q199" s="9"/>
      <c r="R199" s="9"/>
      <c r="S199" s="23"/>
      <c r="T199" s="23"/>
      <c r="U199" s="24"/>
      <c r="V199" s="13"/>
      <c r="W199" s="13"/>
      <c r="X199" s="14"/>
    </row>
    <row r="200" spans="1:2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21"/>
      <c r="L200" s="11"/>
      <c r="M200" s="21"/>
      <c r="N200" s="11"/>
      <c r="O200" s="9"/>
      <c r="P200" s="9"/>
      <c r="Q200" s="9"/>
      <c r="R200" s="9"/>
      <c r="S200" s="23"/>
      <c r="T200" s="23"/>
      <c r="U200" s="24"/>
      <c r="V200" s="13"/>
      <c r="W200" s="13"/>
      <c r="X200" s="14"/>
    </row>
    <row r="201" spans="1:2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21"/>
      <c r="L201" s="11"/>
      <c r="M201" s="21"/>
      <c r="N201" s="11"/>
      <c r="O201" s="9"/>
      <c r="P201" s="9"/>
      <c r="Q201" s="9"/>
      <c r="R201" s="9"/>
      <c r="S201" s="23"/>
      <c r="T201" s="23"/>
      <c r="U201" s="24"/>
      <c r="V201" s="13"/>
      <c r="W201" s="13"/>
      <c r="X201" s="14"/>
    </row>
    <row r="202" spans="1:2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21"/>
      <c r="L202" s="11"/>
      <c r="M202" s="21"/>
      <c r="N202" s="11"/>
      <c r="O202" s="9"/>
      <c r="P202" s="9"/>
      <c r="Q202" s="9"/>
      <c r="R202" s="9"/>
      <c r="S202" s="23"/>
      <c r="T202" s="23"/>
      <c r="U202" s="24"/>
      <c r="V202" s="13"/>
      <c r="W202" s="13"/>
      <c r="X202" s="14"/>
    </row>
    <row r="203" spans="1:2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21"/>
      <c r="L203" s="11"/>
      <c r="M203" s="21"/>
      <c r="N203" s="11"/>
      <c r="O203" s="9"/>
      <c r="P203" s="9"/>
      <c r="Q203" s="9"/>
      <c r="R203" s="9"/>
      <c r="S203" s="23"/>
      <c r="T203" s="23"/>
      <c r="U203" s="24"/>
      <c r="V203" s="13"/>
      <c r="W203" s="13"/>
      <c r="X203" s="14"/>
    </row>
    <row r="204" spans="1:2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21"/>
      <c r="L204" s="11"/>
      <c r="M204" s="21"/>
      <c r="N204" s="11"/>
      <c r="O204" s="9"/>
      <c r="P204" s="9"/>
      <c r="Q204" s="9"/>
      <c r="R204" s="9"/>
      <c r="S204" s="23"/>
      <c r="T204" s="23"/>
      <c r="U204" s="24"/>
      <c r="V204" s="13"/>
      <c r="W204" s="13"/>
      <c r="X204" s="14"/>
    </row>
    <row r="205" spans="1:2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21"/>
      <c r="L205" s="11"/>
      <c r="M205" s="21"/>
      <c r="N205" s="11"/>
      <c r="O205" s="9"/>
      <c r="P205" s="9"/>
      <c r="Q205" s="9"/>
      <c r="R205" s="9"/>
      <c r="S205" s="23"/>
      <c r="T205" s="23"/>
      <c r="U205" s="24"/>
      <c r="V205" s="13"/>
      <c r="W205" s="13"/>
      <c r="X205" s="14"/>
    </row>
    <row r="206" spans="1:2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21"/>
      <c r="L206" s="11"/>
      <c r="M206" s="21"/>
      <c r="N206" s="11"/>
      <c r="O206" s="9"/>
      <c r="P206" s="9"/>
      <c r="Q206" s="9"/>
      <c r="R206" s="9"/>
      <c r="S206" s="23"/>
      <c r="T206" s="23"/>
      <c r="U206" s="24"/>
      <c r="V206" s="13"/>
      <c r="W206" s="13"/>
      <c r="X206" s="14"/>
    </row>
    <row r="207" spans="1:2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21"/>
      <c r="L207" s="11"/>
      <c r="M207" s="21"/>
      <c r="N207" s="11"/>
      <c r="O207" s="9"/>
      <c r="P207" s="9"/>
      <c r="Q207" s="9"/>
      <c r="R207" s="9"/>
      <c r="S207" s="23"/>
      <c r="T207" s="23"/>
      <c r="U207" s="24"/>
      <c r="V207" s="13"/>
      <c r="W207" s="13"/>
      <c r="X207" s="14"/>
    </row>
    <row r="208" spans="1:2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21"/>
      <c r="L208" s="11"/>
      <c r="M208" s="21"/>
      <c r="N208" s="11"/>
      <c r="O208" s="9"/>
      <c r="P208" s="9"/>
      <c r="Q208" s="9"/>
      <c r="R208" s="9"/>
      <c r="S208" s="23"/>
      <c r="T208" s="23"/>
      <c r="U208" s="24"/>
      <c r="V208" s="13"/>
      <c r="W208" s="13"/>
      <c r="X208" s="14"/>
    </row>
    <row r="209" spans="1:2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21"/>
      <c r="L209" s="11"/>
      <c r="M209" s="21"/>
      <c r="N209" s="11"/>
      <c r="O209" s="9"/>
      <c r="P209" s="9"/>
      <c r="Q209" s="9"/>
      <c r="R209" s="9"/>
      <c r="S209" s="23"/>
      <c r="T209" s="23"/>
      <c r="U209" s="24"/>
      <c r="V209" s="13"/>
      <c r="W209" s="13"/>
      <c r="X209" s="14"/>
    </row>
    <row r="210" spans="1:2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21"/>
      <c r="L210" s="11"/>
      <c r="M210" s="21"/>
      <c r="N210" s="11"/>
      <c r="O210" s="9"/>
      <c r="P210" s="9"/>
      <c r="Q210" s="9"/>
      <c r="R210" s="9"/>
      <c r="S210" s="23"/>
      <c r="T210" s="23"/>
      <c r="U210" s="24"/>
      <c r="V210" s="13"/>
      <c r="W210" s="13"/>
      <c r="X210" s="14"/>
    </row>
    <row r="211" spans="1:2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21"/>
      <c r="L211" s="11"/>
      <c r="M211" s="21"/>
      <c r="N211" s="11"/>
      <c r="O211" s="9"/>
      <c r="P211" s="9"/>
      <c r="Q211" s="9"/>
      <c r="R211" s="9"/>
      <c r="S211" s="23"/>
      <c r="T211" s="23"/>
      <c r="U211" s="24"/>
      <c r="V211" s="13"/>
      <c r="W211" s="13"/>
      <c r="X211" s="14"/>
    </row>
    <row r="212" spans="1:2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21"/>
      <c r="L212" s="11"/>
      <c r="M212" s="21"/>
      <c r="N212" s="11"/>
      <c r="O212" s="9"/>
      <c r="P212" s="9"/>
      <c r="Q212" s="9"/>
      <c r="R212" s="9"/>
      <c r="S212" s="23"/>
      <c r="T212" s="23"/>
      <c r="U212" s="24"/>
      <c r="V212" s="13"/>
      <c r="W212" s="13"/>
      <c r="X212" s="14"/>
    </row>
    <row r="213" spans="1:2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21"/>
      <c r="L213" s="11"/>
      <c r="M213" s="21"/>
      <c r="N213" s="11"/>
      <c r="O213" s="9"/>
      <c r="P213" s="9"/>
      <c r="Q213" s="9"/>
      <c r="R213" s="9"/>
      <c r="S213" s="23"/>
      <c r="T213" s="23"/>
      <c r="U213" s="24"/>
      <c r="V213" s="13"/>
      <c r="W213" s="13"/>
      <c r="X213" s="14"/>
    </row>
    <row r="214" spans="1:2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21"/>
      <c r="L214" s="11"/>
      <c r="M214" s="21"/>
      <c r="N214" s="11"/>
      <c r="O214" s="9"/>
      <c r="P214" s="9"/>
      <c r="Q214" s="9"/>
      <c r="R214" s="9"/>
      <c r="S214" s="23"/>
      <c r="T214" s="23"/>
      <c r="U214" s="24"/>
      <c r="V214" s="13"/>
      <c r="W214" s="13"/>
      <c r="X214" s="14"/>
    </row>
    <row r="215" spans="1:24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21"/>
      <c r="L215" s="11"/>
      <c r="M215" s="21"/>
      <c r="N215" s="11"/>
      <c r="O215" s="9"/>
      <c r="P215" s="9"/>
      <c r="Q215" s="9"/>
      <c r="R215" s="9"/>
      <c r="S215" s="23"/>
      <c r="T215" s="23"/>
      <c r="U215" s="24"/>
      <c r="V215" s="13"/>
      <c r="W215" s="13"/>
      <c r="X215" s="14"/>
    </row>
    <row r="216" spans="1:24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21"/>
      <c r="L216" s="11"/>
      <c r="M216" s="21"/>
      <c r="N216" s="11"/>
      <c r="O216" s="9"/>
      <c r="P216" s="9"/>
      <c r="Q216" s="9"/>
      <c r="R216" s="9"/>
      <c r="S216" s="23"/>
      <c r="T216" s="23"/>
      <c r="U216" s="24"/>
      <c r="V216" s="13"/>
      <c r="W216" s="13"/>
      <c r="X216" s="14"/>
    </row>
    <row r="217" spans="1:24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21"/>
      <c r="L217" s="11"/>
      <c r="M217" s="21"/>
      <c r="N217" s="11"/>
      <c r="O217" s="9"/>
      <c r="P217" s="9"/>
      <c r="Q217" s="9"/>
      <c r="R217" s="9"/>
      <c r="S217" s="23"/>
      <c r="T217" s="23"/>
      <c r="U217" s="24"/>
      <c r="V217" s="13"/>
      <c r="W217" s="13"/>
      <c r="X217" s="14"/>
    </row>
    <row r="218" spans="1:24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21"/>
      <c r="L218" s="11"/>
      <c r="M218" s="21"/>
      <c r="N218" s="11"/>
      <c r="O218" s="9"/>
      <c r="P218" s="9"/>
      <c r="Q218" s="9"/>
      <c r="R218" s="9"/>
      <c r="S218" s="23"/>
      <c r="T218" s="23"/>
      <c r="U218" s="24"/>
      <c r="V218" s="13"/>
      <c r="W218" s="13"/>
      <c r="X218" s="14"/>
    </row>
    <row r="219" spans="1:24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21"/>
      <c r="L219" s="11"/>
      <c r="M219" s="21"/>
      <c r="N219" s="11"/>
      <c r="O219" s="9"/>
      <c r="P219" s="9"/>
      <c r="Q219" s="9"/>
      <c r="R219" s="9"/>
      <c r="S219" s="23"/>
      <c r="T219" s="23"/>
      <c r="U219" s="24"/>
      <c r="V219" s="13"/>
      <c r="W219" s="13"/>
      <c r="X219" s="14"/>
    </row>
    <row r="220" spans="1:24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21"/>
      <c r="L220" s="11"/>
      <c r="M220" s="21"/>
      <c r="N220" s="11"/>
      <c r="O220" s="9"/>
      <c r="P220" s="9"/>
      <c r="Q220" s="9"/>
      <c r="R220" s="9"/>
      <c r="S220" s="23"/>
      <c r="T220" s="23"/>
      <c r="U220" s="24"/>
      <c r="V220" s="13"/>
      <c r="W220" s="13"/>
      <c r="X220" s="14"/>
    </row>
    <row r="221" spans="1:24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21"/>
      <c r="L221" s="11"/>
      <c r="M221" s="21"/>
      <c r="N221" s="11"/>
      <c r="O221" s="9"/>
      <c r="P221" s="9"/>
      <c r="Q221" s="9"/>
      <c r="R221" s="9"/>
      <c r="S221" s="23"/>
      <c r="T221" s="23"/>
      <c r="U221" s="24"/>
      <c r="V221" s="13"/>
      <c r="W221" s="13"/>
      <c r="X221" s="14"/>
    </row>
    <row r="222" spans="1:24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21"/>
      <c r="L222" s="11"/>
      <c r="M222" s="21"/>
      <c r="N222" s="11"/>
      <c r="O222" s="9"/>
      <c r="P222" s="9"/>
      <c r="Q222" s="9"/>
      <c r="R222" s="9"/>
      <c r="S222" s="23"/>
      <c r="T222" s="23"/>
      <c r="U222" s="24"/>
      <c r="V222" s="13"/>
      <c r="W222" s="13"/>
      <c r="X222" s="14"/>
    </row>
    <row r="223" spans="1:24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21"/>
      <c r="L223" s="11"/>
      <c r="M223" s="21"/>
      <c r="N223" s="11"/>
      <c r="O223" s="9"/>
      <c r="P223" s="9"/>
      <c r="Q223" s="9"/>
      <c r="R223" s="9"/>
      <c r="S223" s="23"/>
      <c r="T223" s="23"/>
      <c r="U223" s="24"/>
      <c r="V223" s="13"/>
      <c r="W223" s="13"/>
      <c r="X223" s="14"/>
    </row>
    <row r="224" spans="1: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21"/>
      <c r="L224" s="11"/>
      <c r="M224" s="21"/>
      <c r="N224" s="11"/>
      <c r="O224" s="9"/>
      <c r="P224" s="9"/>
      <c r="Q224" s="9"/>
      <c r="R224" s="9"/>
      <c r="S224" s="23"/>
      <c r="T224" s="23"/>
      <c r="U224" s="24"/>
      <c r="V224" s="13"/>
      <c r="W224" s="13"/>
      <c r="X224" s="14"/>
    </row>
    <row r="225" spans="1:24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21"/>
      <c r="L225" s="11"/>
      <c r="M225" s="21"/>
      <c r="N225" s="11"/>
      <c r="O225" s="9"/>
      <c r="P225" s="9"/>
      <c r="Q225" s="9"/>
      <c r="R225" s="9"/>
      <c r="S225" s="23"/>
      <c r="T225" s="23"/>
      <c r="U225" s="24"/>
      <c r="V225" s="13"/>
      <c r="W225" s="13"/>
      <c r="X225" s="14"/>
    </row>
    <row r="226" spans="1:24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21"/>
      <c r="L226" s="11"/>
      <c r="M226" s="21"/>
      <c r="N226" s="11"/>
      <c r="O226" s="9"/>
      <c r="P226" s="9"/>
      <c r="Q226" s="9"/>
      <c r="R226" s="9"/>
      <c r="S226" s="23"/>
      <c r="T226" s="23"/>
      <c r="U226" s="24"/>
      <c r="V226" s="13"/>
      <c r="W226" s="13"/>
      <c r="X226" s="14"/>
    </row>
    <row r="227" spans="1:24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21"/>
      <c r="L227" s="11"/>
      <c r="M227" s="21"/>
      <c r="N227" s="11"/>
      <c r="O227" s="9"/>
      <c r="P227" s="9"/>
      <c r="Q227" s="9"/>
      <c r="R227" s="9"/>
      <c r="S227" s="23"/>
      <c r="T227" s="23"/>
      <c r="U227" s="24"/>
      <c r="V227" s="13"/>
      <c r="W227" s="13"/>
      <c r="X227" s="14"/>
    </row>
    <row r="228" spans="1:24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21"/>
      <c r="L228" s="11"/>
      <c r="M228" s="21"/>
      <c r="N228" s="11"/>
      <c r="O228" s="9"/>
      <c r="P228" s="9"/>
      <c r="Q228" s="9"/>
      <c r="R228" s="9"/>
      <c r="S228" s="23"/>
      <c r="T228" s="23"/>
      <c r="U228" s="24"/>
      <c r="V228" s="13"/>
      <c r="W228" s="13"/>
      <c r="X228" s="14"/>
    </row>
    <row r="229" spans="1:24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21"/>
      <c r="L229" s="11"/>
      <c r="M229" s="21"/>
      <c r="N229" s="11"/>
      <c r="O229" s="9"/>
      <c r="P229" s="9"/>
      <c r="Q229" s="9"/>
      <c r="R229" s="9"/>
      <c r="S229" s="23"/>
      <c r="T229" s="23"/>
      <c r="U229" s="24"/>
      <c r="V229" s="13"/>
      <c r="W229" s="13"/>
      <c r="X229" s="14"/>
    </row>
    <row r="230" spans="1:24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21"/>
      <c r="L230" s="11"/>
      <c r="M230" s="21"/>
      <c r="N230" s="11"/>
      <c r="O230" s="9"/>
      <c r="P230" s="9"/>
      <c r="Q230" s="9"/>
      <c r="R230" s="9"/>
      <c r="S230" s="23"/>
      <c r="T230" s="23"/>
      <c r="U230" s="24"/>
      <c r="V230" s="13"/>
      <c r="W230" s="13"/>
      <c r="X230" s="14"/>
    </row>
    <row r="231" spans="1:24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21"/>
      <c r="L231" s="11"/>
      <c r="M231" s="21"/>
      <c r="N231" s="11"/>
      <c r="O231" s="9"/>
      <c r="P231" s="9"/>
      <c r="Q231" s="9"/>
      <c r="R231" s="9"/>
      <c r="S231" s="23"/>
      <c r="T231" s="23"/>
      <c r="U231" s="24"/>
      <c r="V231" s="13"/>
      <c r="W231" s="13"/>
      <c r="X231" s="14"/>
    </row>
    <row r="232" spans="1:24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21"/>
      <c r="L232" s="11"/>
      <c r="M232" s="21"/>
      <c r="N232" s="11"/>
      <c r="O232" s="9"/>
      <c r="P232" s="9"/>
      <c r="Q232" s="9"/>
      <c r="R232" s="9"/>
      <c r="S232" s="23"/>
      <c r="T232" s="23"/>
      <c r="U232" s="24"/>
      <c r="V232" s="13"/>
      <c r="W232" s="13"/>
      <c r="X232" s="14"/>
    </row>
    <row r="233" spans="1:24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21"/>
      <c r="L233" s="11"/>
      <c r="M233" s="21"/>
      <c r="N233" s="11"/>
      <c r="O233" s="9"/>
      <c r="P233" s="9"/>
      <c r="Q233" s="9"/>
      <c r="R233" s="9"/>
      <c r="S233" s="23"/>
      <c r="T233" s="23"/>
      <c r="U233" s="24"/>
      <c r="V233" s="13"/>
      <c r="W233" s="13"/>
      <c r="X233" s="14"/>
    </row>
    <row r="234" spans="1:2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21"/>
      <c r="L234" s="11"/>
      <c r="M234" s="21"/>
      <c r="N234" s="11"/>
      <c r="O234" s="9"/>
      <c r="P234" s="9"/>
      <c r="Q234" s="9"/>
      <c r="R234" s="9"/>
      <c r="S234" s="23"/>
      <c r="T234" s="23"/>
      <c r="U234" s="24"/>
      <c r="V234" s="13"/>
      <c r="W234" s="13"/>
      <c r="X234" s="14"/>
    </row>
    <row r="235" spans="1:24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21"/>
      <c r="L235" s="11"/>
      <c r="M235" s="21"/>
      <c r="N235" s="11"/>
      <c r="O235" s="9"/>
      <c r="P235" s="9"/>
      <c r="Q235" s="9"/>
      <c r="R235" s="9"/>
      <c r="S235" s="23"/>
      <c r="T235" s="23"/>
      <c r="U235" s="24"/>
      <c r="V235" s="13"/>
      <c r="W235" s="13"/>
      <c r="X235" s="14"/>
    </row>
    <row r="236" spans="1:24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21"/>
      <c r="L236" s="11"/>
      <c r="M236" s="21"/>
      <c r="N236" s="11"/>
      <c r="O236" s="9"/>
      <c r="P236" s="9"/>
      <c r="Q236" s="9"/>
      <c r="R236" s="9"/>
      <c r="S236" s="23"/>
      <c r="T236" s="23"/>
      <c r="U236" s="24"/>
      <c r="V236" s="13"/>
      <c r="W236" s="13"/>
      <c r="X236" s="14"/>
    </row>
    <row r="237" spans="1:24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21"/>
      <c r="L237" s="11"/>
      <c r="M237" s="21"/>
      <c r="N237" s="11"/>
      <c r="O237" s="9"/>
      <c r="P237" s="9"/>
      <c r="Q237" s="9"/>
      <c r="R237" s="9"/>
      <c r="S237" s="23"/>
      <c r="T237" s="23"/>
      <c r="U237" s="24"/>
      <c r="V237" s="13"/>
      <c r="W237" s="13"/>
      <c r="X237" s="14"/>
    </row>
    <row r="238" spans="1:24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21"/>
      <c r="L238" s="11"/>
      <c r="M238" s="21"/>
      <c r="N238" s="11"/>
      <c r="O238" s="9"/>
      <c r="P238" s="9"/>
      <c r="Q238" s="9"/>
      <c r="R238" s="9"/>
      <c r="S238" s="23"/>
      <c r="T238" s="23"/>
      <c r="U238" s="24"/>
      <c r="V238" s="13"/>
      <c r="W238" s="13"/>
      <c r="X238" s="14"/>
    </row>
    <row r="239" spans="1:24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21"/>
      <c r="L239" s="11"/>
      <c r="M239" s="21"/>
      <c r="N239" s="11"/>
      <c r="O239" s="9"/>
      <c r="P239" s="9"/>
      <c r="Q239" s="9"/>
      <c r="R239" s="9"/>
      <c r="S239" s="23"/>
      <c r="T239" s="23"/>
      <c r="U239" s="24"/>
      <c r="V239" s="13"/>
      <c r="W239" s="13"/>
      <c r="X239" s="14"/>
    </row>
    <row r="240" spans="1:24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21"/>
      <c r="L240" s="11"/>
      <c r="M240" s="21"/>
      <c r="N240" s="11"/>
      <c r="O240" s="9"/>
      <c r="P240" s="9"/>
      <c r="Q240" s="9"/>
      <c r="R240" s="9"/>
      <c r="S240" s="23"/>
      <c r="T240" s="23"/>
      <c r="U240" s="24"/>
      <c r="V240" s="13"/>
      <c r="W240" s="13"/>
      <c r="X240" s="14"/>
    </row>
    <row r="241" spans="1:24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21"/>
      <c r="L241" s="11"/>
      <c r="M241" s="21"/>
      <c r="N241" s="11"/>
      <c r="O241" s="9"/>
      <c r="P241" s="9"/>
      <c r="Q241" s="9"/>
      <c r="R241" s="9"/>
      <c r="S241" s="23"/>
      <c r="T241" s="23"/>
      <c r="U241" s="24"/>
      <c r="V241" s="13"/>
      <c r="W241" s="13"/>
      <c r="X241" s="14"/>
    </row>
    <row r="242" spans="1:24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21"/>
      <c r="L242" s="11"/>
      <c r="M242" s="21"/>
      <c r="N242" s="11"/>
      <c r="O242" s="9"/>
      <c r="P242" s="9"/>
      <c r="Q242" s="9"/>
      <c r="R242" s="9"/>
      <c r="S242" s="23"/>
      <c r="T242" s="23"/>
      <c r="U242" s="24"/>
      <c r="V242" s="13"/>
      <c r="W242" s="13"/>
      <c r="X242" s="14"/>
    </row>
    <row r="243" spans="1:24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21"/>
      <c r="L243" s="11"/>
      <c r="M243" s="21"/>
      <c r="N243" s="11"/>
      <c r="O243" s="9"/>
      <c r="P243" s="9"/>
      <c r="Q243" s="9"/>
      <c r="R243" s="9"/>
      <c r="S243" s="23"/>
      <c r="T243" s="23"/>
      <c r="U243" s="24"/>
      <c r="V243" s="13"/>
      <c r="W243" s="13"/>
      <c r="X243" s="14"/>
    </row>
    <row r="244" spans="1:2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21"/>
      <c r="L244" s="11"/>
      <c r="M244" s="21"/>
      <c r="N244" s="11"/>
      <c r="O244" s="9"/>
      <c r="P244" s="9"/>
      <c r="Q244" s="9"/>
      <c r="R244" s="9"/>
      <c r="S244" s="23"/>
      <c r="T244" s="23"/>
      <c r="U244" s="24"/>
      <c r="V244" s="13"/>
      <c r="W244" s="13"/>
      <c r="X244" s="14"/>
    </row>
    <row r="245" spans="1:24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21"/>
      <c r="L245" s="11"/>
      <c r="M245" s="21"/>
      <c r="N245" s="11"/>
      <c r="O245" s="9"/>
      <c r="P245" s="9"/>
      <c r="Q245" s="9"/>
      <c r="R245" s="9"/>
      <c r="S245" s="23"/>
      <c r="T245" s="23"/>
      <c r="U245" s="24"/>
      <c r="V245" s="13"/>
      <c r="W245" s="13"/>
      <c r="X245" s="14"/>
    </row>
    <row r="246" spans="1:24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21"/>
      <c r="L246" s="11"/>
      <c r="M246" s="21"/>
      <c r="N246" s="11"/>
      <c r="O246" s="9"/>
      <c r="P246" s="9"/>
      <c r="Q246" s="9"/>
      <c r="R246" s="9"/>
      <c r="S246" s="23"/>
      <c r="T246" s="23"/>
      <c r="U246" s="24"/>
      <c r="V246" s="13"/>
      <c r="W246" s="13"/>
      <c r="X246" s="14"/>
    </row>
    <row r="247" spans="1:24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21"/>
      <c r="L247" s="11"/>
      <c r="M247" s="21"/>
      <c r="N247" s="11"/>
      <c r="O247" s="9"/>
      <c r="P247" s="9"/>
      <c r="Q247" s="9"/>
      <c r="R247" s="9"/>
      <c r="S247" s="23"/>
      <c r="T247" s="23"/>
      <c r="U247" s="24"/>
      <c r="V247" s="13"/>
      <c r="W247" s="13"/>
      <c r="X247" s="14"/>
    </row>
    <row r="248" spans="1:24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21"/>
      <c r="L248" s="11"/>
      <c r="M248" s="21"/>
      <c r="N248" s="11"/>
      <c r="O248" s="9"/>
      <c r="P248" s="9"/>
      <c r="Q248" s="9"/>
      <c r="R248" s="9"/>
      <c r="S248" s="23"/>
      <c r="T248" s="23"/>
      <c r="U248" s="24"/>
      <c r="V248" s="13"/>
      <c r="W248" s="13"/>
      <c r="X248" s="14"/>
    </row>
    <row r="249" spans="1:24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21"/>
      <c r="L249" s="11"/>
      <c r="M249" s="21"/>
      <c r="N249" s="11"/>
      <c r="O249" s="9"/>
      <c r="P249" s="9"/>
      <c r="Q249" s="9"/>
      <c r="R249" s="9"/>
      <c r="S249" s="23"/>
      <c r="T249" s="23"/>
      <c r="U249" s="24"/>
      <c r="V249" s="13"/>
      <c r="W249" s="13"/>
      <c r="X249" s="14"/>
    </row>
    <row r="250" spans="1:24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21"/>
      <c r="L250" s="11"/>
      <c r="M250" s="21"/>
      <c r="N250" s="11"/>
      <c r="O250" s="9"/>
      <c r="P250" s="9"/>
      <c r="Q250" s="9"/>
      <c r="R250" s="9"/>
      <c r="S250" s="23"/>
      <c r="T250" s="23"/>
      <c r="U250" s="24"/>
      <c r="V250" s="13"/>
      <c r="W250" s="13"/>
      <c r="X250" s="14"/>
    </row>
    <row r="251" spans="1:2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21"/>
      <c r="L251" s="11"/>
      <c r="M251" s="21"/>
      <c r="N251" s="11"/>
      <c r="O251" s="9"/>
      <c r="P251" s="9"/>
      <c r="Q251" s="9"/>
      <c r="R251" s="9"/>
      <c r="S251" s="23"/>
      <c r="T251" s="23"/>
      <c r="U251" s="24"/>
      <c r="V251" s="13"/>
      <c r="W251" s="13"/>
      <c r="X251" s="14"/>
    </row>
    <row r="252" spans="1:2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21"/>
      <c r="L252" s="11"/>
      <c r="M252" s="21"/>
      <c r="N252" s="11"/>
      <c r="O252" s="9"/>
      <c r="P252" s="9"/>
      <c r="Q252" s="9"/>
      <c r="R252" s="9"/>
      <c r="S252" s="23"/>
      <c r="T252" s="23"/>
      <c r="U252" s="24"/>
      <c r="V252" s="13"/>
      <c r="W252" s="13"/>
      <c r="X252" s="14"/>
    </row>
    <row r="253" spans="1:2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21"/>
      <c r="L253" s="11"/>
      <c r="M253" s="21"/>
      <c r="N253" s="11"/>
      <c r="O253" s="9"/>
      <c r="P253" s="9"/>
      <c r="Q253" s="9"/>
      <c r="R253" s="9"/>
      <c r="S253" s="23"/>
      <c r="T253" s="23"/>
      <c r="U253" s="24"/>
      <c r="V253" s="13"/>
      <c r="W253" s="13"/>
      <c r="X253" s="14"/>
    </row>
    <row r="254" spans="1:2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21"/>
      <c r="L254" s="11"/>
      <c r="M254" s="21"/>
      <c r="N254" s="11"/>
      <c r="O254" s="9"/>
      <c r="P254" s="9"/>
      <c r="Q254" s="9"/>
      <c r="R254" s="9"/>
      <c r="S254" s="23"/>
      <c r="T254" s="23"/>
      <c r="U254" s="24"/>
      <c r="V254" s="13"/>
      <c r="W254" s="13"/>
      <c r="X254" s="14"/>
    </row>
    <row r="255" spans="1:24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21"/>
      <c r="L255" s="11"/>
      <c r="M255" s="21"/>
      <c r="N255" s="11"/>
      <c r="O255" s="9"/>
      <c r="P255" s="9"/>
      <c r="Q255" s="9"/>
      <c r="R255" s="9"/>
      <c r="S255" s="23"/>
      <c r="T255" s="23"/>
      <c r="U255" s="24"/>
      <c r="V255" s="13"/>
      <c r="W255" s="13"/>
      <c r="X255" s="14"/>
    </row>
    <row r="256" spans="1:24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21"/>
      <c r="L256" s="11"/>
      <c r="M256" s="21"/>
      <c r="N256" s="11"/>
      <c r="O256" s="9"/>
      <c r="P256" s="9"/>
      <c r="Q256" s="9"/>
      <c r="R256" s="9"/>
      <c r="S256" s="23"/>
      <c r="T256" s="23"/>
      <c r="U256" s="24"/>
      <c r="V256" s="13"/>
      <c r="W256" s="13"/>
      <c r="X256" s="14"/>
    </row>
    <row r="257" spans="1:24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21"/>
      <c r="L257" s="11"/>
      <c r="M257" s="21"/>
      <c r="N257" s="11"/>
      <c r="O257" s="9"/>
      <c r="P257" s="9"/>
      <c r="Q257" s="9"/>
      <c r="R257" s="9"/>
      <c r="S257" s="23"/>
      <c r="T257" s="23"/>
      <c r="U257" s="24"/>
      <c r="V257" s="13"/>
      <c r="W257" s="13"/>
      <c r="X257" s="14"/>
    </row>
    <row r="258" spans="1:24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21"/>
      <c r="L258" s="11"/>
      <c r="M258" s="21"/>
      <c r="N258" s="11"/>
      <c r="O258" s="9"/>
      <c r="P258" s="9"/>
      <c r="Q258" s="9"/>
      <c r="R258" s="9"/>
      <c r="S258" s="23"/>
      <c r="T258" s="23"/>
      <c r="U258" s="24"/>
      <c r="V258" s="13"/>
      <c r="W258" s="13"/>
      <c r="X258" s="14"/>
    </row>
    <row r="259" spans="1:24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21"/>
      <c r="L259" s="11"/>
      <c r="M259" s="21"/>
      <c r="N259" s="11"/>
      <c r="O259" s="9"/>
      <c r="P259" s="9"/>
      <c r="Q259" s="9"/>
      <c r="R259" s="9"/>
      <c r="S259" s="23"/>
      <c r="T259" s="23"/>
      <c r="U259" s="24"/>
      <c r="V259" s="13"/>
      <c r="W259" s="13"/>
      <c r="X259" s="14"/>
    </row>
    <row r="260" spans="1:24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21"/>
      <c r="L260" s="11"/>
      <c r="M260" s="21"/>
      <c r="N260" s="11"/>
      <c r="O260" s="9"/>
      <c r="P260" s="9"/>
      <c r="Q260" s="9"/>
      <c r="R260" s="9"/>
      <c r="S260" s="23"/>
      <c r="T260" s="23"/>
      <c r="U260" s="24"/>
      <c r="V260" s="13"/>
      <c r="W260" s="13"/>
      <c r="X260" s="14"/>
    </row>
    <row r="261" spans="1:24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21"/>
      <c r="L261" s="11"/>
      <c r="M261" s="21"/>
      <c r="N261" s="11"/>
      <c r="O261" s="9"/>
      <c r="P261" s="9"/>
      <c r="Q261" s="9"/>
      <c r="R261" s="9"/>
      <c r="S261" s="23"/>
      <c r="T261" s="23"/>
      <c r="U261" s="24"/>
      <c r="V261" s="13"/>
      <c r="W261" s="13"/>
      <c r="X261" s="14"/>
    </row>
    <row r="262" spans="1:24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21"/>
      <c r="L262" s="11"/>
      <c r="M262" s="21"/>
      <c r="N262" s="11"/>
      <c r="O262" s="9"/>
      <c r="P262" s="9"/>
      <c r="Q262" s="9"/>
      <c r="R262" s="9"/>
      <c r="S262" s="23"/>
      <c r="T262" s="23"/>
      <c r="U262" s="24"/>
      <c r="V262" s="13"/>
      <c r="W262" s="13"/>
      <c r="X262" s="14"/>
    </row>
    <row r="263" spans="1:24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21"/>
      <c r="L263" s="11"/>
      <c r="M263" s="21"/>
      <c r="N263" s="11"/>
      <c r="O263" s="9"/>
      <c r="P263" s="9"/>
      <c r="Q263" s="9"/>
      <c r="R263" s="9"/>
      <c r="S263" s="23"/>
      <c r="T263" s="23"/>
      <c r="U263" s="24"/>
      <c r="V263" s="13"/>
      <c r="W263" s="13"/>
      <c r="X263" s="14"/>
    </row>
    <row r="264" spans="1:2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21"/>
      <c r="L264" s="11"/>
      <c r="M264" s="21"/>
      <c r="N264" s="11"/>
      <c r="O264" s="9"/>
      <c r="P264" s="9"/>
      <c r="Q264" s="9"/>
      <c r="R264" s="9"/>
      <c r="S264" s="23"/>
      <c r="T264" s="23"/>
      <c r="U264" s="24"/>
      <c r="V264" s="13"/>
      <c r="W264" s="13"/>
      <c r="X264" s="14"/>
    </row>
    <row r="265" spans="1:24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21"/>
      <c r="L265" s="11"/>
      <c r="M265" s="21"/>
      <c r="N265" s="11"/>
      <c r="O265" s="9"/>
      <c r="P265" s="9"/>
      <c r="Q265" s="9"/>
      <c r="R265" s="9"/>
      <c r="S265" s="23"/>
      <c r="T265" s="23"/>
      <c r="U265" s="24"/>
      <c r="V265" s="13"/>
      <c r="W265" s="13"/>
      <c r="X265" s="14"/>
    </row>
    <row r="266" spans="1:24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21"/>
      <c r="L266" s="11"/>
      <c r="M266" s="21"/>
      <c r="N266" s="11"/>
      <c r="O266" s="9"/>
      <c r="P266" s="9"/>
      <c r="Q266" s="9"/>
      <c r="R266" s="9"/>
      <c r="S266" s="23"/>
      <c r="T266" s="23"/>
      <c r="U266" s="24"/>
      <c r="V266" s="13"/>
      <c r="W266" s="13"/>
      <c r="X266" s="14"/>
    </row>
    <row r="267" spans="1:24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21"/>
      <c r="L267" s="11"/>
      <c r="M267" s="21"/>
      <c r="N267" s="11"/>
      <c r="O267" s="9"/>
      <c r="P267" s="9"/>
      <c r="Q267" s="9"/>
      <c r="R267" s="9"/>
      <c r="S267" s="23"/>
      <c r="T267" s="23"/>
      <c r="U267" s="24"/>
      <c r="V267" s="13"/>
      <c r="W267" s="13"/>
      <c r="X267" s="14"/>
    </row>
    <row r="268" spans="1:24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21"/>
      <c r="L268" s="11"/>
      <c r="M268" s="21"/>
      <c r="N268" s="11"/>
      <c r="O268" s="9"/>
      <c r="P268" s="9"/>
      <c r="Q268" s="9"/>
      <c r="R268" s="9"/>
      <c r="S268" s="23"/>
      <c r="T268" s="23"/>
      <c r="U268" s="24"/>
      <c r="V268" s="13"/>
      <c r="W268" s="13"/>
      <c r="X268" s="14"/>
    </row>
    <row r="269" spans="1:24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21"/>
      <c r="L269" s="11"/>
      <c r="M269" s="21"/>
      <c r="N269" s="11"/>
      <c r="O269" s="9"/>
      <c r="P269" s="9"/>
      <c r="Q269" s="9"/>
      <c r="R269" s="9"/>
      <c r="S269" s="23"/>
      <c r="T269" s="23"/>
      <c r="U269" s="24"/>
      <c r="V269" s="13"/>
      <c r="W269" s="13"/>
      <c r="X269" s="14"/>
    </row>
    <row r="270" spans="1:24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21"/>
      <c r="L270" s="11"/>
      <c r="M270" s="21"/>
      <c r="N270" s="11"/>
      <c r="O270" s="9"/>
      <c r="P270" s="9"/>
      <c r="Q270" s="9"/>
      <c r="R270" s="9"/>
      <c r="S270" s="23"/>
      <c r="T270" s="23"/>
      <c r="U270" s="24"/>
      <c r="V270" s="13"/>
      <c r="W270" s="13"/>
      <c r="X270" s="14"/>
    </row>
    <row r="271" spans="1:24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21"/>
      <c r="L271" s="11"/>
      <c r="M271" s="21"/>
      <c r="N271" s="11"/>
      <c r="O271" s="9"/>
      <c r="P271" s="9"/>
      <c r="Q271" s="9"/>
      <c r="R271" s="9"/>
      <c r="S271" s="23"/>
      <c r="T271" s="23"/>
      <c r="U271" s="24"/>
      <c r="V271" s="13"/>
      <c r="W271" s="13"/>
      <c r="X271" s="14"/>
    </row>
    <row r="272" spans="1:24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21"/>
      <c r="L272" s="11"/>
      <c r="M272" s="21"/>
      <c r="N272" s="11"/>
      <c r="O272" s="9"/>
      <c r="P272" s="9"/>
      <c r="Q272" s="9"/>
      <c r="R272" s="9"/>
      <c r="S272" s="23"/>
      <c r="T272" s="23"/>
      <c r="U272" s="24"/>
      <c r="V272" s="13"/>
      <c r="W272" s="13"/>
      <c r="X272" s="14"/>
    </row>
    <row r="273" spans="1:24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21"/>
      <c r="L273" s="11"/>
      <c r="M273" s="21"/>
      <c r="N273" s="11"/>
      <c r="O273" s="9"/>
      <c r="P273" s="9"/>
      <c r="Q273" s="9"/>
      <c r="R273" s="9"/>
      <c r="S273" s="23"/>
      <c r="T273" s="23"/>
      <c r="U273" s="24"/>
      <c r="V273" s="13"/>
      <c r="W273" s="13"/>
      <c r="X273" s="14"/>
    </row>
    <row r="274" spans="1:2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21"/>
      <c r="L274" s="11"/>
      <c r="M274" s="21"/>
      <c r="N274" s="11"/>
      <c r="O274" s="9"/>
      <c r="P274" s="9"/>
      <c r="Q274" s="9"/>
      <c r="R274" s="9"/>
      <c r="S274" s="23"/>
      <c r="T274" s="23"/>
      <c r="U274" s="24"/>
      <c r="V274" s="13"/>
      <c r="W274" s="13"/>
      <c r="X274" s="14"/>
    </row>
    <row r="275" spans="1:24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21"/>
      <c r="L275" s="11"/>
      <c r="M275" s="21"/>
      <c r="N275" s="11"/>
      <c r="O275" s="9"/>
      <c r="P275" s="9"/>
      <c r="Q275" s="9"/>
      <c r="R275" s="9"/>
      <c r="S275" s="23"/>
      <c r="T275" s="23"/>
      <c r="U275" s="24"/>
      <c r="V275" s="13"/>
      <c r="W275" s="13"/>
      <c r="X275" s="14"/>
    </row>
    <row r="276" spans="1:24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21"/>
      <c r="L276" s="11"/>
      <c r="M276" s="21"/>
      <c r="N276" s="11"/>
      <c r="O276" s="9"/>
      <c r="P276" s="9"/>
      <c r="Q276" s="9"/>
      <c r="R276" s="9"/>
      <c r="S276" s="23"/>
      <c r="T276" s="23"/>
      <c r="U276" s="24"/>
      <c r="V276" s="13"/>
      <c r="W276" s="13"/>
      <c r="X276" s="14"/>
    </row>
    <row r="277" spans="1:24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21"/>
      <c r="L277" s="11"/>
      <c r="M277" s="21"/>
      <c r="N277" s="11"/>
      <c r="O277" s="9"/>
      <c r="P277" s="9"/>
      <c r="Q277" s="9"/>
      <c r="R277" s="9"/>
      <c r="S277" s="23"/>
      <c r="T277" s="23"/>
      <c r="U277" s="24"/>
      <c r="V277" s="13"/>
      <c r="W277" s="13"/>
      <c r="X277" s="14"/>
    </row>
    <row r="278" spans="1:24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21"/>
      <c r="L278" s="11"/>
      <c r="M278" s="21"/>
      <c r="N278" s="11"/>
      <c r="O278" s="9"/>
      <c r="P278" s="9"/>
      <c r="Q278" s="9"/>
      <c r="R278" s="9"/>
      <c r="S278" s="23"/>
      <c r="T278" s="23"/>
      <c r="U278" s="24"/>
      <c r="V278" s="13"/>
      <c r="W278" s="13"/>
      <c r="X278" s="14"/>
    </row>
    <row r="279" spans="1:24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21"/>
      <c r="L279" s="11"/>
      <c r="M279" s="21"/>
      <c r="N279" s="11"/>
      <c r="O279" s="9"/>
      <c r="P279" s="9"/>
      <c r="Q279" s="9"/>
      <c r="R279" s="9"/>
      <c r="S279" s="23"/>
      <c r="T279" s="23"/>
      <c r="U279" s="24"/>
      <c r="V279" s="13"/>
      <c r="W279" s="13"/>
      <c r="X279" s="14"/>
    </row>
    <row r="280" spans="1:24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21"/>
      <c r="L280" s="11"/>
      <c r="M280" s="21"/>
      <c r="N280" s="11"/>
      <c r="O280" s="9"/>
      <c r="P280" s="9"/>
      <c r="Q280" s="9"/>
      <c r="R280" s="9"/>
      <c r="S280" s="23"/>
      <c r="T280" s="23"/>
      <c r="U280" s="24"/>
      <c r="V280" s="13"/>
      <c r="W280" s="13"/>
      <c r="X280" s="14"/>
    </row>
    <row r="281" spans="1:24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21"/>
      <c r="L281" s="11"/>
      <c r="M281" s="21"/>
      <c r="N281" s="11"/>
      <c r="O281" s="9"/>
      <c r="P281" s="9"/>
      <c r="Q281" s="9"/>
      <c r="R281" s="9"/>
      <c r="S281" s="23"/>
      <c r="T281" s="23"/>
      <c r="U281" s="24"/>
      <c r="V281" s="13"/>
      <c r="W281" s="13"/>
      <c r="X281" s="14"/>
    </row>
    <row r="282" spans="1:24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21"/>
      <c r="L282" s="11"/>
      <c r="M282" s="21"/>
      <c r="N282" s="11"/>
      <c r="O282" s="9"/>
      <c r="P282" s="9"/>
      <c r="Q282" s="9"/>
      <c r="R282" s="9"/>
      <c r="S282" s="23"/>
      <c r="T282" s="23"/>
      <c r="U282" s="24"/>
      <c r="V282" s="13"/>
      <c r="W282" s="13"/>
      <c r="X282" s="14"/>
    </row>
    <row r="283" spans="1:24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21"/>
      <c r="L283" s="11"/>
      <c r="M283" s="21"/>
      <c r="N283" s="11"/>
      <c r="O283" s="9"/>
      <c r="P283" s="9"/>
      <c r="Q283" s="9"/>
      <c r="R283" s="9"/>
      <c r="S283" s="23"/>
      <c r="T283" s="23"/>
      <c r="U283" s="24"/>
      <c r="V283" s="13"/>
      <c r="W283" s="13"/>
      <c r="X283" s="14"/>
    </row>
    <row r="284" spans="1:2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21"/>
      <c r="L284" s="11"/>
      <c r="M284" s="21"/>
      <c r="N284" s="11"/>
      <c r="O284" s="9"/>
      <c r="P284" s="9"/>
      <c r="Q284" s="9"/>
      <c r="R284" s="9"/>
      <c r="S284" s="23"/>
      <c r="T284" s="23"/>
      <c r="U284" s="24"/>
      <c r="V284" s="13"/>
      <c r="W284" s="13"/>
      <c r="X284" s="14"/>
    </row>
    <row r="285" spans="1:24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21"/>
      <c r="L285" s="11"/>
      <c r="M285" s="21"/>
      <c r="N285" s="11"/>
      <c r="O285" s="9"/>
      <c r="P285" s="9"/>
      <c r="Q285" s="9"/>
      <c r="R285" s="9"/>
      <c r="S285" s="23"/>
      <c r="T285" s="23"/>
      <c r="U285" s="24"/>
      <c r="V285" s="13"/>
      <c r="W285" s="13"/>
      <c r="X285" s="14"/>
    </row>
    <row r="286" spans="1:24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21"/>
      <c r="L286" s="11"/>
      <c r="M286" s="21"/>
      <c r="N286" s="11"/>
      <c r="O286" s="9"/>
      <c r="P286" s="9"/>
      <c r="Q286" s="9"/>
      <c r="R286" s="9"/>
      <c r="S286" s="23"/>
      <c r="T286" s="23"/>
      <c r="U286" s="24"/>
      <c r="V286" s="13"/>
      <c r="W286" s="13"/>
      <c r="X286" s="14"/>
    </row>
    <row r="287" spans="1:24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21"/>
      <c r="L287" s="11"/>
      <c r="M287" s="21"/>
      <c r="N287" s="11"/>
      <c r="O287" s="9"/>
      <c r="P287" s="9"/>
      <c r="Q287" s="9"/>
      <c r="R287" s="9"/>
      <c r="S287" s="23"/>
      <c r="T287" s="23"/>
      <c r="U287" s="24"/>
      <c r="V287" s="13"/>
      <c r="W287" s="13"/>
      <c r="X287" s="14"/>
    </row>
    <row r="288" spans="1:24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21"/>
      <c r="L288" s="11"/>
      <c r="M288" s="21"/>
      <c r="N288" s="11"/>
      <c r="O288" s="9"/>
      <c r="P288" s="9"/>
      <c r="Q288" s="9"/>
      <c r="R288" s="9"/>
      <c r="S288" s="23"/>
      <c r="T288" s="23"/>
      <c r="U288" s="24"/>
      <c r="V288" s="13"/>
      <c r="W288" s="13"/>
      <c r="X288" s="14"/>
    </row>
    <row r="289" spans="1:24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21"/>
      <c r="L289" s="11"/>
      <c r="M289" s="21"/>
      <c r="N289" s="11"/>
      <c r="O289" s="9"/>
      <c r="P289" s="9"/>
      <c r="Q289" s="9"/>
      <c r="R289" s="9"/>
      <c r="S289" s="23"/>
      <c r="T289" s="23"/>
      <c r="U289" s="24"/>
      <c r="V289" s="13"/>
      <c r="W289" s="13"/>
      <c r="X289" s="14"/>
    </row>
    <row r="290" spans="1:24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21"/>
      <c r="L290" s="11"/>
      <c r="M290" s="21"/>
      <c r="N290" s="11"/>
      <c r="O290" s="9"/>
      <c r="P290" s="9"/>
      <c r="Q290" s="9"/>
      <c r="R290" s="9"/>
      <c r="S290" s="23"/>
      <c r="T290" s="23"/>
      <c r="U290" s="24"/>
      <c r="V290" s="13"/>
      <c r="W290" s="13"/>
      <c r="X290" s="14"/>
    </row>
    <row r="291" spans="1:24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21"/>
      <c r="L291" s="11"/>
      <c r="M291" s="21"/>
      <c r="N291" s="11"/>
      <c r="O291" s="9"/>
      <c r="P291" s="9"/>
      <c r="Q291" s="9"/>
      <c r="R291" s="9"/>
      <c r="S291" s="23"/>
      <c r="T291" s="23"/>
      <c r="U291" s="24"/>
      <c r="V291" s="13"/>
      <c r="W291" s="13"/>
      <c r="X291" s="14"/>
    </row>
    <row r="292" spans="1:24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21"/>
      <c r="L292" s="11"/>
      <c r="M292" s="21"/>
      <c r="N292" s="11"/>
      <c r="O292" s="9"/>
      <c r="P292" s="9"/>
      <c r="Q292" s="9"/>
      <c r="R292" s="9"/>
      <c r="S292" s="23"/>
      <c r="T292" s="23"/>
      <c r="U292" s="24"/>
      <c r="V292" s="13"/>
      <c r="W292" s="13"/>
      <c r="X292" s="14"/>
    </row>
    <row r="293" spans="1:24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21"/>
      <c r="L293" s="11"/>
      <c r="M293" s="21"/>
      <c r="N293" s="11"/>
      <c r="O293" s="9"/>
      <c r="P293" s="9"/>
      <c r="Q293" s="9"/>
      <c r="R293" s="9"/>
      <c r="S293" s="23"/>
      <c r="T293" s="23"/>
      <c r="U293" s="24"/>
      <c r="V293" s="13"/>
      <c r="W293" s="13"/>
      <c r="X293" s="14"/>
    </row>
    <row r="294" spans="1:2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21"/>
      <c r="L294" s="11"/>
      <c r="M294" s="21"/>
      <c r="N294" s="11"/>
      <c r="O294" s="9"/>
      <c r="P294" s="9"/>
      <c r="Q294" s="9"/>
      <c r="R294" s="9"/>
      <c r="S294" s="23"/>
      <c r="T294" s="23"/>
      <c r="U294" s="24"/>
      <c r="V294" s="13"/>
      <c r="W294" s="13"/>
      <c r="X294" s="14"/>
    </row>
    <row r="295" spans="1:24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21"/>
      <c r="L295" s="11"/>
      <c r="M295" s="21"/>
      <c r="N295" s="11"/>
      <c r="O295" s="9"/>
      <c r="P295" s="9"/>
      <c r="Q295" s="9"/>
      <c r="R295" s="9"/>
      <c r="S295" s="23"/>
      <c r="T295" s="23"/>
      <c r="U295" s="24"/>
      <c r="V295" s="13"/>
      <c r="W295" s="13"/>
      <c r="X295" s="14"/>
    </row>
    <row r="296" spans="1:24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21"/>
      <c r="L296" s="11"/>
      <c r="M296" s="21"/>
      <c r="N296" s="11"/>
      <c r="O296" s="9"/>
      <c r="P296" s="9"/>
      <c r="Q296" s="9"/>
      <c r="R296" s="9"/>
      <c r="S296" s="23"/>
      <c r="T296" s="23"/>
      <c r="U296" s="24"/>
      <c r="V296" s="13"/>
      <c r="W296" s="13"/>
      <c r="X296" s="14"/>
    </row>
    <row r="297" spans="1:24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21"/>
      <c r="L297" s="11"/>
      <c r="M297" s="21"/>
      <c r="N297" s="11"/>
      <c r="O297" s="9"/>
      <c r="P297" s="9"/>
      <c r="Q297" s="9"/>
      <c r="R297" s="9"/>
      <c r="S297" s="23"/>
      <c r="T297" s="23"/>
      <c r="U297" s="24"/>
      <c r="V297" s="13"/>
      <c r="W297" s="13"/>
      <c r="X297" s="14"/>
    </row>
    <row r="298" spans="1:24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21"/>
      <c r="L298" s="11"/>
      <c r="M298" s="21"/>
      <c r="N298" s="11"/>
      <c r="O298" s="9"/>
      <c r="P298" s="9"/>
      <c r="Q298" s="9"/>
      <c r="R298" s="9"/>
      <c r="S298" s="23"/>
      <c r="T298" s="23"/>
      <c r="U298" s="24"/>
      <c r="V298" s="13"/>
      <c r="W298" s="13"/>
      <c r="X298" s="14"/>
    </row>
    <row r="299" spans="1:24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21"/>
      <c r="L299" s="11"/>
      <c r="M299" s="21"/>
      <c r="N299" s="11"/>
      <c r="O299" s="9"/>
      <c r="P299" s="9"/>
      <c r="Q299" s="9"/>
      <c r="R299" s="9"/>
      <c r="S299" s="23"/>
      <c r="T299" s="23"/>
      <c r="U299" s="24"/>
      <c r="V299" s="13"/>
      <c r="W299" s="13"/>
      <c r="X299" s="14"/>
    </row>
    <row r="300" spans="1:24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21"/>
      <c r="L300" s="11"/>
      <c r="M300" s="21"/>
      <c r="N300" s="11"/>
      <c r="O300" s="9"/>
      <c r="P300" s="9"/>
      <c r="Q300" s="9"/>
      <c r="R300" s="9"/>
      <c r="S300" s="23"/>
      <c r="T300" s="23"/>
      <c r="U300" s="24"/>
      <c r="V300" s="13"/>
      <c r="W300" s="13"/>
      <c r="X300" s="14"/>
    </row>
    <row r="301" spans="1:24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21"/>
      <c r="L301" s="11"/>
      <c r="M301" s="21"/>
      <c r="N301" s="11"/>
      <c r="O301" s="9"/>
      <c r="P301" s="9"/>
      <c r="Q301" s="9"/>
      <c r="R301" s="9"/>
      <c r="S301" s="23"/>
      <c r="T301" s="23"/>
      <c r="U301" s="24"/>
      <c r="V301" s="13"/>
      <c r="W301" s="13"/>
      <c r="X301" s="14"/>
    </row>
    <row r="302" spans="1:24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21"/>
      <c r="L302" s="11"/>
      <c r="M302" s="21"/>
      <c r="N302" s="11"/>
      <c r="O302" s="9"/>
      <c r="P302" s="9"/>
      <c r="Q302" s="9"/>
      <c r="R302" s="9"/>
      <c r="S302" s="23"/>
      <c r="T302" s="23"/>
      <c r="U302" s="24"/>
      <c r="V302" s="13"/>
      <c r="W302" s="13"/>
      <c r="X302" s="14"/>
    </row>
    <row r="303" spans="1:24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21"/>
      <c r="L303" s="11"/>
      <c r="M303" s="21"/>
      <c r="N303" s="11"/>
      <c r="O303" s="9"/>
      <c r="P303" s="9"/>
      <c r="Q303" s="9"/>
      <c r="R303" s="9"/>
      <c r="S303" s="23"/>
      <c r="T303" s="23"/>
      <c r="U303" s="24"/>
      <c r="V303" s="13"/>
      <c r="W303" s="13"/>
      <c r="X303" s="14"/>
    </row>
    <row r="304" spans="1:2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21"/>
      <c r="L304" s="11"/>
      <c r="M304" s="21"/>
      <c r="N304" s="11"/>
      <c r="O304" s="9"/>
      <c r="P304" s="9"/>
      <c r="Q304" s="9"/>
      <c r="R304" s="9"/>
      <c r="S304" s="23"/>
      <c r="T304" s="23"/>
      <c r="U304" s="24"/>
      <c r="V304" s="13"/>
      <c r="W304" s="13"/>
      <c r="X304" s="14"/>
    </row>
    <row r="305" spans="1:24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21"/>
      <c r="L305" s="11"/>
      <c r="M305" s="21"/>
      <c r="N305" s="11"/>
      <c r="O305" s="9"/>
      <c r="P305" s="9"/>
      <c r="Q305" s="9"/>
      <c r="R305" s="9"/>
      <c r="S305" s="23"/>
      <c r="T305" s="23"/>
      <c r="U305" s="24"/>
      <c r="V305" s="13"/>
      <c r="W305" s="13"/>
      <c r="X305" s="14"/>
    </row>
    <row r="306" spans="1:24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21"/>
      <c r="L306" s="11"/>
      <c r="M306" s="21"/>
      <c r="N306" s="11"/>
      <c r="O306" s="9"/>
      <c r="P306" s="9"/>
      <c r="Q306" s="9"/>
      <c r="R306" s="9"/>
      <c r="S306" s="23"/>
      <c r="T306" s="23"/>
      <c r="U306" s="24"/>
      <c r="V306" s="13"/>
      <c r="W306" s="13"/>
      <c r="X306" s="14"/>
    </row>
    <row r="307" spans="1:24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21"/>
      <c r="L307" s="11"/>
      <c r="M307" s="21"/>
      <c r="N307" s="11"/>
      <c r="O307" s="9"/>
      <c r="P307" s="9"/>
      <c r="Q307" s="9"/>
      <c r="R307" s="9"/>
      <c r="S307" s="23"/>
      <c r="T307" s="23"/>
      <c r="U307" s="24"/>
      <c r="V307" s="13"/>
      <c r="W307" s="13"/>
      <c r="X307" s="14"/>
    </row>
    <row r="308" spans="1:24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21"/>
      <c r="L308" s="11"/>
      <c r="M308" s="21"/>
      <c r="N308" s="11"/>
      <c r="O308" s="9"/>
      <c r="P308" s="9"/>
      <c r="Q308" s="9"/>
      <c r="R308" s="9"/>
      <c r="S308" s="23"/>
      <c r="T308" s="23"/>
      <c r="U308" s="24"/>
      <c r="V308" s="13"/>
      <c r="W308" s="13"/>
      <c r="X308" s="14"/>
    </row>
    <row r="309" spans="1:24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21"/>
      <c r="L309" s="11"/>
      <c r="M309" s="21"/>
      <c r="N309" s="11"/>
      <c r="O309" s="9"/>
      <c r="P309" s="9"/>
      <c r="Q309" s="9"/>
      <c r="R309" s="9"/>
      <c r="S309" s="23"/>
      <c r="T309" s="23"/>
      <c r="U309" s="24"/>
      <c r="V309" s="13"/>
      <c r="W309" s="13"/>
      <c r="X309" s="14"/>
    </row>
    <row r="310" spans="1:24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21"/>
      <c r="L310" s="11"/>
      <c r="M310" s="21"/>
      <c r="N310" s="11"/>
      <c r="O310" s="9"/>
      <c r="P310" s="9"/>
      <c r="Q310" s="9"/>
      <c r="R310" s="9"/>
      <c r="S310" s="23"/>
      <c r="T310" s="23"/>
      <c r="U310" s="24"/>
      <c r="V310" s="13"/>
      <c r="W310" s="13"/>
      <c r="X310" s="14"/>
    </row>
    <row r="311" spans="1:24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21"/>
      <c r="L311" s="11"/>
      <c r="M311" s="21"/>
      <c r="N311" s="11"/>
      <c r="O311" s="9"/>
      <c r="P311" s="9"/>
      <c r="Q311" s="9"/>
      <c r="R311" s="9"/>
      <c r="S311" s="23"/>
      <c r="T311" s="23"/>
      <c r="U311" s="24"/>
      <c r="V311" s="13"/>
      <c r="W311" s="13"/>
      <c r="X311" s="14"/>
    </row>
    <row r="312" spans="1:24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21"/>
      <c r="L312" s="11"/>
      <c r="M312" s="21"/>
      <c r="N312" s="11"/>
      <c r="O312" s="9"/>
      <c r="P312" s="9"/>
      <c r="Q312" s="9"/>
      <c r="R312" s="9"/>
      <c r="S312" s="23"/>
      <c r="T312" s="23"/>
      <c r="U312" s="24"/>
      <c r="V312" s="13"/>
      <c r="W312" s="13"/>
      <c r="X312" s="14"/>
    </row>
    <row r="313" spans="1:24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21"/>
      <c r="L313" s="11"/>
      <c r="M313" s="21"/>
      <c r="N313" s="11"/>
      <c r="O313" s="9"/>
      <c r="P313" s="9"/>
      <c r="Q313" s="9"/>
      <c r="R313" s="9"/>
      <c r="S313" s="23"/>
      <c r="T313" s="23"/>
      <c r="U313" s="24"/>
      <c r="V313" s="13"/>
      <c r="W313" s="13"/>
      <c r="X313" s="14"/>
    </row>
    <row r="314" spans="1:2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21"/>
      <c r="L314" s="11"/>
      <c r="M314" s="21"/>
      <c r="N314" s="11"/>
      <c r="O314" s="9"/>
      <c r="P314" s="9"/>
      <c r="Q314" s="9"/>
      <c r="R314" s="9"/>
      <c r="S314" s="23"/>
      <c r="T314" s="23"/>
      <c r="U314" s="24"/>
      <c r="V314" s="13"/>
      <c r="W314" s="13"/>
      <c r="X314" s="14"/>
    </row>
    <row r="315" spans="1:24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21"/>
      <c r="L315" s="11"/>
      <c r="M315" s="21"/>
      <c r="N315" s="11"/>
      <c r="O315" s="9"/>
      <c r="P315" s="9"/>
      <c r="Q315" s="9"/>
      <c r="R315" s="9"/>
      <c r="S315" s="23"/>
      <c r="T315" s="23"/>
      <c r="U315" s="24"/>
      <c r="V315" s="13"/>
      <c r="W315" s="13"/>
      <c r="X315" s="14"/>
    </row>
    <row r="316" spans="1:24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21"/>
      <c r="L316" s="11"/>
      <c r="M316" s="21"/>
      <c r="N316" s="11"/>
      <c r="O316" s="9"/>
      <c r="P316" s="9"/>
      <c r="Q316" s="9"/>
      <c r="R316" s="9"/>
      <c r="S316" s="23"/>
      <c r="T316" s="23"/>
      <c r="U316" s="24"/>
      <c r="V316" s="13"/>
      <c r="W316" s="13"/>
      <c r="X316" s="14"/>
    </row>
    <row r="317" spans="1:24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21"/>
      <c r="L317" s="11"/>
      <c r="M317" s="21"/>
      <c r="N317" s="11"/>
      <c r="O317" s="9"/>
      <c r="P317" s="9"/>
      <c r="Q317" s="9"/>
      <c r="R317" s="9"/>
      <c r="S317" s="23"/>
      <c r="T317" s="23"/>
      <c r="U317" s="24"/>
      <c r="V317" s="13"/>
      <c r="W317" s="13"/>
      <c r="X317" s="14"/>
    </row>
    <row r="318" spans="1:24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21"/>
      <c r="L318" s="11"/>
      <c r="M318" s="21"/>
      <c r="N318" s="11"/>
      <c r="O318" s="9"/>
      <c r="P318" s="9"/>
      <c r="Q318" s="9"/>
      <c r="R318" s="9"/>
      <c r="S318" s="23"/>
      <c r="T318" s="23"/>
      <c r="U318" s="24"/>
      <c r="V318" s="13"/>
      <c r="W318" s="13"/>
      <c r="X318" s="14"/>
    </row>
    <row r="319" spans="1:24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21"/>
      <c r="L319" s="11"/>
      <c r="M319" s="21"/>
      <c r="N319" s="11"/>
      <c r="O319" s="9"/>
      <c r="P319" s="9"/>
      <c r="Q319" s="9"/>
      <c r="R319" s="9"/>
      <c r="S319" s="23"/>
      <c r="T319" s="23"/>
      <c r="U319" s="24"/>
      <c r="V319" s="13"/>
      <c r="W319" s="13"/>
      <c r="X319" s="14"/>
    </row>
    <row r="320" spans="1:24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21"/>
      <c r="L320" s="11"/>
      <c r="M320" s="21"/>
      <c r="N320" s="11"/>
      <c r="O320" s="9"/>
      <c r="P320" s="9"/>
      <c r="Q320" s="9"/>
      <c r="R320" s="9"/>
      <c r="S320" s="23"/>
      <c r="T320" s="23"/>
      <c r="U320" s="24"/>
      <c r="V320" s="13"/>
      <c r="W320" s="13"/>
      <c r="X320" s="14"/>
    </row>
    <row r="321" spans="1:24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21"/>
      <c r="L321" s="11"/>
      <c r="M321" s="21"/>
      <c r="N321" s="11"/>
      <c r="O321" s="9"/>
      <c r="P321" s="9"/>
      <c r="Q321" s="9"/>
      <c r="R321" s="9"/>
      <c r="S321" s="23"/>
      <c r="T321" s="23"/>
      <c r="U321" s="24"/>
      <c r="V321" s="13"/>
      <c r="W321" s="13"/>
      <c r="X321" s="14"/>
    </row>
    <row r="322" spans="1:24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21"/>
      <c r="L322" s="11"/>
      <c r="M322" s="21"/>
      <c r="N322" s="11"/>
      <c r="O322" s="9"/>
      <c r="P322" s="9"/>
      <c r="Q322" s="9"/>
      <c r="R322" s="9"/>
      <c r="S322" s="23"/>
      <c r="T322" s="23"/>
      <c r="U322" s="24"/>
      <c r="V322" s="13"/>
      <c r="W322" s="13"/>
      <c r="X322" s="14"/>
    </row>
    <row r="323" spans="1:24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21"/>
      <c r="L323" s="11"/>
      <c r="M323" s="21"/>
      <c r="N323" s="11"/>
      <c r="O323" s="9"/>
      <c r="P323" s="9"/>
      <c r="Q323" s="9"/>
      <c r="R323" s="9"/>
      <c r="S323" s="23"/>
      <c r="T323" s="23"/>
      <c r="U323" s="24"/>
      <c r="V323" s="13"/>
      <c r="W323" s="13"/>
      <c r="X323" s="14"/>
    </row>
    <row r="324" spans="1: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21"/>
      <c r="L324" s="11"/>
      <c r="M324" s="21"/>
      <c r="N324" s="11"/>
      <c r="O324" s="9"/>
      <c r="P324" s="9"/>
      <c r="Q324" s="9"/>
      <c r="R324" s="9"/>
      <c r="S324" s="23"/>
      <c r="T324" s="23"/>
      <c r="U324" s="24"/>
      <c r="V324" s="13"/>
      <c r="W324" s="13"/>
      <c r="X324" s="14"/>
    </row>
    <row r="325" spans="1:24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21"/>
      <c r="L325" s="11"/>
      <c r="M325" s="21"/>
      <c r="N325" s="11"/>
      <c r="O325" s="9"/>
      <c r="P325" s="9"/>
      <c r="Q325" s="9"/>
      <c r="R325" s="9"/>
      <c r="S325" s="23"/>
      <c r="T325" s="23"/>
      <c r="U325" s="24"/>
      <c r="V325" s="13"/>
      <c r="W325" s="13"/>
      <c r="X325" s="14"/>
    </row>
    <row r="326" spans="1:24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21"/>
      <c r="L326" s="11"/>
      <c r="M326" s="21"/>
      <c r="N326" s="11"/>
      <c r="O326" s="9"/>
      <c r="P326" s="9"/>
      <c r="Q326" s="9"/>
      <c r="R326" s="9"/>
      <c r="S326" s="23"/>
      <c r="T326" s="23"/>
      <c r="U326" s="24"/>
      <c r="V326" s="13"/>
      <c r="W326" s="13"/>
      <c r="X326" s="14"/>
    </row>
    <row r="327" spans="1:24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21"/>
      <c r="L327" s="11"/>
      <c r="M327" s="21"/>
      <c r="N327" s="11"/>
      <c r="O327" s="9"/>
      <c r="P327" s="9"/>
      <c r="Q327" s="9"/>
      <c r="R327" s="9"/>
      <c r="S327" s="23"/>
      <c r="T327" s="23"/>
      <c r="U327" s="24"/>
      <c r="V327" s="13"/>
      <c r="W327" s="13"/>
      <c r="X327" s="14"/>
    </row>
    <row r="328" spans="1:24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21"/>
      <c r="L328" s="11"/>
      <c r="M328" s="21"/>
      <c r="N328" s="11"/>
      <c r="O328" s="9"/>
      <c r="P328" s="9"/>
      <c r="Q328" s="9"/>
      <c r="R328" s="9"/>
      <c r="S328" s="23"/>
      <c r="T328" s="23"/>
      <c r="U328" s="24"/>
      <c r="V328" s="13"/>
      <c r="W328" s="13"/>
      <c r="X328" s="14"/>
    </row>
    <row r="329" spans="1:24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21"/>
      <c r="L329" s="11"/>
      <c r="M329" s="21"/>
      <c r="N329" s="11"/>
      <c r="O329" s="9"/>
      <c r="P329" s="9"/>
      <c r="Q329" s="9"/>
      <c r="R329" s="9"/>
      <c r="S329" s="23"/>
      <c r="T329" s="23"/>
      <c r="U329" s="24"/>
      <c r="V329" s="13"/>
      <c r="W329" s="13"/>
      <c r="X329" s="14"/>
    </row>
    <row r="330" spans="1:24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21"/>
      <c r="L330" s="11"/>
      <c r="M330" s="21"/>
      <c r="N330" s="11"/>
      <c r="O330" s="9"/>
      <c r="P330" s="9"/>
      <c r="Q330" s="9"/>
      <c r="R330" s="9"/>
      <c r="S330" s="23"/>
      <c r="T330" s="23"/>
      <c r="U330" s="24"/>
      <c r="V330" s="13"/>
      <c r="W330" s="13"/>
      <c r="X330" s="14"/>
    </row>
    <row r="331" spans="1:24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21"/>
      <c r="L331" s="11"/>
      <c r="M331" s="21"/>
      <c r="N331" s="11"/>
      <c r="O331" s="9"/>
      <c r="P331" s="9"/>
      <c r="Q331" s="9"/>
      <c r="R331" s="9"/>
      <c r="S331" s="23"/>
      <c r="T331" s="23"/>
      <c r="U331" s="24"/>
      <c r="V331" s="13"/>
      <c r="W331" s="13"/>
      <c r="X331" s="14"/>
    </row>
    <row r="332" spans="1:24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21"/>
      <c r="L332" s="11"/>
      <c r="M332" s="21"/>
      <c r="N332" s="11"/>
      <c r="O332" s="9"/>
      <c r="P332" s="9"/>
      <c r="Q332" s="9"/>
      <c r="R332" s="9"/>
      <c r="S332" s="23"/>
      <c r="T332" s="23"/>
      <c r="U332" s="24"/>
      <c r="V332" s="13"/>
      <c r="W332" s="13"/>
      <c r="X332" s="14"/>
    </row>
    <row r="333" spans="1:24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21"/>
      <c r="L333" s="11"/>
      <c r="M333" s="21"/>
      <c r="N333" s="11"/>
      <c r="O333" s="9"/>
      <c r="P333" s="9"/>
      <c r="Q333" s="9"/>
      <c r="R333" s="9"/>
      <c r="S333" s="23"/>
      <c r="T333" s="23"/>
      <c r="U333" s="24"/>
      <c r="V333" s="13"/>
      <c r="W333" s="13"/>
      <c r="X333" s="14"/>
    </row>
    <row r="334" spans="1:2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21"/>
      <c r="L334" s="11"/>
      <c r="M334" s="21"/>
      <c r="N334" s="11"/>
      <c r="O334" s="9"/>
      <c r="P334" s="9"/>
      <c r="Q334" s="9"/>
      <c r="R334" s="9"/>
      <c r="S334" s="23"/>
      <c r="T334" s="23"/>
      <c r="U334" s="24"/>
      <c r="V334" s="13"/>
      <c r="W334" s="13"/>
      <c r="X334" s="14"/>
    </row>
    <row r="335" spans="1:24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21"/>
      <c r="L335" s="11"/>
      <c r="M335" s="21"/>
      <c r="N335" s="11"/>
      <c r="O335" s="9"/>
      <c r="P335" s="9"/>
      <c r="Q335" s="9"/>
      <c r="R335" s="9"/>
      <c r="S335" s="23"/>
      <c r="T335" s="23"/>
      <c r="U335" s="24"/>
      <c r="V335" s="13"/>
      <c r="W335" s="13"/>
      <c r="X335" s="14"/>
    </row>
    <row r="336" spans="1:24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21"/>
      <c r="L336" s="11"/>
      <c r="M336" s="21"/>
      <c r="N336" s="11"/>
      <c r="O336" s="9"/>
      <c r="P336" s="9"/>
      <c r="Q336" s="9"/>
      <c r="R336" s="9"/>
      <c r="S336" s="23"/>
      <c r="T336" s="23"/>
      <c r="U336" s="24"/>
      <c r="V336" s="13"/>
      <c r="W336" s="13"/>
      <c r="X336" s="14"/>
    </row>
    <row r="337" spans="1:24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21"/>
      <c r="L337" s="11"/>
      <c r="M337" s="21"/>
      <c r="N337" s="11"/>
      <c r="O337" s="9"/>
      <c r="P337" s="9"/>
      <c r="Q337" s="9"/>
      <c r="R337" s="9"/>
      <c r="S337" s="23"/>
      <c r="T337" s="23"/>
      <c r="U337" s="24"/>
      <c r="V337" s="13"/>
      <c r="W337" s="13"/>
      <c r="X337" s="14"/>
    </row>
    <row r="338" spans="1:24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21"/>
      <c r="L338" s="11"/>
      <c r="M338" s="21"/>
      <c r="N338" s="11"/>
      <c r="O338" s="9"/>
      <c r="P338" s="9"/>
      <c r="Q338" s="9"/>
      <c r="R338" s="9"/>
      <c r="S338" s="23"/>
      <c r="T338" s="23"/>
      <c r="U338" s="24"/>
      <c r="V338" s="13"/>
      <c r="W338" s="13"/>
      <c r="X338" s="14"/>
    </row>
    <row r="339" spans="1:24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21"/>
      <c r="L339" s="11"/>
      <c r="M339" s="21"/>
      <c r="N339" s="11"/>
      <c r="O339" s="9"/>
      <c r="P339" s="9"/>
      <c r="Q339" s="9"/>
      <c r="R339" s="9"/>
      <c r="S339" s="23"/>
      <c r="T339" s="23"/>
      <c r="U339" s="24"/>
      <c r="V339" s="13"/>
      <c r="W339" s="13"/>
      <c r="X339" s="14"/>
    </row>
    <row r="340" spans="1:24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21"/>
      <c r="L340" s="11"/>
      <c r="M340" s="21"/>
      <c r="N340" s="11"/>
      <c r="O340" s="9"/>
      <c r="P340" s="9"/>
      <c r="Q340" s="9"/>
      <c r="R340" s="9"/>
      <c r="S340" s="23"/>
      <c r="T340" s="23"/>
      <c r="U340" s="24"/>
      <c r="V340" s="13"/>
      <c r="W340" s="13"/>
      <c r="X340" s="14"/>
    </row>
    <row r="341" spans="1:24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21"/>
      <c r="L341" s="11"/>
      <c r="M341" s="21"/>
      <c r="N341" s="11"/>
      <c r="O341" s="9"/>
      <c r="P341" s="9"/>
      <c r="Q341" s="9"/>
      <c r="R341" s="9"/>
      <c r="S341" s="23"/>
      <c r="T341" s="23"/>
      <c r="U341" s="24"/>
      <c r="V341" s="13"/>
      <c r="W341" s="13"/>
      <c r="X341" s="14"/>
    </row>
    <row r="342" spans="1:24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21"/>
      <c r="L342" s="11"/>
      <c r="M342" s="21"/>
      <c r="N342" s="11"/>
      <c r="O342" s="9"/>
      <c r="P342" s="9"/>
      <c r="Q342" s="9"/>
      <c r="R342" s="9"/>
      <c r="S342" s="23"/>
      <c r="T342" s="23"/>
      <c r="U342" s="24"/>
      <c r="V342" s="13"/>
      <c r="W342" s="13"/>
      <c r="X342" s="14"/>
    </row>
    <row r="343" spans="1:24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21"/>
      <c r="L343" s="11"/>
      <c r="M343" s="21"/>
      <c r="N343" s="11"/>
      <c r="O343" s="9"/>
      <c r="P343" s="9"/>
      <c r="Q343" s="9"/>
      <c r="R343" s="9"/>
      <c r="S343" s="23"/>
      <c r="T343" s="23"/>
      <c r="U343" s="24"/>
      <c r="V343" s="13"/>
      <c r="W343" s="13"/>
      <c r="X343" s="14"/>
    </row>
    <row r="344" spans="1:2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21"/>
      <c r="L344" s="11"/>
      <c r="M344" s="21"/>
      <c r="N344" s="11"/>
      <c r="O344" s="9"/>
      <c r="P344" s="9"/>
      <c r="Q344" s="9"/>
      <c r="R344" s="9"/>
      <c r="S344" s="23"/>
      <c r="T344" s="23"/>
      <c r="U344" s="24"/>
      <c r="V344" s="13"/>
      <c r="W344" s="13"/>
      <c r="X344" s="14"/>
    </row>
    <row r="345" spans="1:24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21"/>
      <c r="L345" s="11"/>
      <c r="M345" s="21"/>
      <c r="N345" s="11"/>
      <c r="O345" s="9"/>
      <c r="P345" s="9"/>
      <c r="Q345" s="9"/>
      <c r="R345" s="9"/>
      <c r="S345" s="23"/>
      <c r="T345" s="23"/>
      <c r="U345" s="24"/>
      <c r="V345" s="13"/>
      <c r="W345" s="13"/>
      <c r="X345" s="14"/>
    </row>
    <row r="346" spans="1:24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21"/>
      <c r="L346" s="11"/>
      <c r="M346" s="21"/>
      <c r="N346" s="11"/>
      <c r="O346" s="9"/>
      <c r="P346" s="9"/>
      <c r="Q346" s="9"/>
      <c r="R346" s="9"/>
      <c r="S346" s="23"/>
      <c r="T346" s="23"/>
      <c r="U346" s="24"/>
      <c r="V346" s="13"/>
      <c r="W346" s="13"/>
      <c r="X346" s="14"/>
    </row>
    <row r="347" spans="1:24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21"/>
      <c r="L347" s="11"/>
      <c r="M347" s="21"/>
      <c r="N347" s="11"/>
      <c r="O347" s="9"/>
      <c r="P347" s="9"/>
      <c r="Q347" s="9"/>
      <c r="R347" s="9"/>
      <c r="S347" s="23"/>
      <c r="T347" s="23"/>
      <c r="U347" s="24"/>
      <c r="V347" s="13"/>
      <c r="W347" s="13"/>
      <c r="X347" s="14"/>
    </row>
    <row r="348" spans="1:24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21"/>
      <c r="L348" s="11"/>
      <c r="M348" s="21"/>
      <c r="N348" s="11"/>
      <c r="O348" s="9"/>
      <c r="P348" s="9"/>
      <c r="Q348" s="9"/>
      <c r="R348" s="9"/>
      <c r="S348" s="23"/>
      <c r="T348" s="23"/>
      <c r="U348" s="24"/>
      <c r="V348" s="13"/>
      <c r="W348" s="13"/>
      <c r="X348" s="14"/>
    </row>
    <row r="349" spans="1:24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21"/>
      <c r="L349" s="11"/>
      <c r="M349" s="21"/>
      <c r="N349" s="11"/>
      <c r="O349" s="9"/>
      <c r="P349" s="9"/>
      <c r="Q349" s="9"/>
      <c r="R349" s="9"/>
      <c r="S349" s="23"/>
      <c r="T349" s="23"/>
      <c r="U349" s="24"/>
      <c r="V349" s="13"/>
      <c r="W349" s="13"/>
      <c r="X349" s="14"/>
    </row>
    <row r="350" spans="1:24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21"/>
      <c r="L350" s="11"/>
      <c r="M350" s="21"/>
      <c r="N350" s="11"/>
      <c r="O350" s="9"/>
      <c r="P350" s="9"/>
      <c r="Q350" s="9"/>
      <c r="R350" s="9"/>
      <c r="S350" s="23"/>
      <c r="T350" s="23"/>
      <c r="U350" s="24"/>
      <c r="V350" s="13"/>
      <c r="W350" s="13"/>
      <c r="X350" s="14"/>
    </row>
    <row r="351" spans="1:24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21"/>
      <c r="L351" s="11"/>
      <c r="M351" s="21"/>
      <c r="N351" s="11"/>
      <c r="O351" s="9"/>
      <c r="P351" s="9"/>
      <c r="Q351" s="9"/>
      <c r="R351" s="9"/>
      <c r="S351" s="23"/>
      <c r="T351" s="23"/>
      <c r="U351" s="24"/>
      <c r="V351" s="13"/>
      <c r="W351" s="13"/>
      <c r="X351" s="14"/>
    </row>
    <row r="352" spans="1:24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21"/>
      <c r="L352" s="11"/>
      <c r="M352" s="21"/>
      <c r="N352" s="11"/>
      <c r="O352" s="9"/>
      <c r="P352" s="9"/>
      <c r="Q352" s="9"/>
      <c r="R352" s="9"/>
      <c r="S352" s="23"/>
      <c r="T352" s="23"/>
      <c r="U352" s="24"/>
      <c r="V352" s="13"/>
      <c r="W352" s="13"/>
      <c r="X352" s="14"/>
    </row>
    <row r="353" spans="1:24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21"/>
      <c r="L353" s="11"/>
      <c r="M353" s="21"/>
      <c r="N353" s="11"/>
      <c r="O353" s="9"/>
      <c r="P353" s="9"/>
      <c r="Q353" s="9"/>
      <c r="R353" s="9"/>
      <c r="S353" s="23"/>
      <c r="T353" s="23"/>
      <c r="U353" s="24"/>
      <c r="V353" s="13"/>
      <c r="W353" s="13"/>
      <c r="X353" s="14"/>
    </row>
    <row r="354" spans="1:2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21"/>
      <c r="L354" s="11"/>
      <c r="M354" s="21"/>
      <c r="N354" s="11"/>
      <c r="O354" s="9"/>
      <c r="P354" s="9"/>
      <c r="Q354" s="9"/>
      <c r="R354" s="9"/>
      <c r="S354" s="23"/>
      <c r="T354" s="23"/>
      <c r="U354" s="24"/>
      <c r="V354" s="13"/>
      <c r="W354" s="13"/>
      <c r="X354" s="14"/>
    </row>
    <row r="355" spans="1:24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21"/>
      <c r="L355" s="11"/>
      <c r="M355" s="21"/>
      <c r="N355" s="11"/>
      <c r="O355" s="9"/>
      <c r="P355" s="9"/>
      <c r="Q355" s="9"/>
      <c r="R355" s="9"/>
      <c r="S355" s="23"/>
      <c r="T355" s="23"/>
      <c r="U355" s="24"/>
      <c r="V355" s="13"/>
      <c r="W355" s="13"/>
      <c r="X355" s="14"/>
    </row>
    <row r="356" spans="1:24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21"/>
      <c r="L356" s="11"/>
      <c r="M356" s="21"/>
      <c r="N356" s="11"/>
      <c r="O356" s="9"/>
      <c r="P356" s="9"/>
      <c r="Q356" s="9"/>
      <c r="R356" s="9"/>
      <c r="S356" s="23"/>
      <c r="T356" s="23"/>
      <c r="U356" s="24"/>
      <c r="V356" s="13"/>
      <c r="W356" s="13"/>
      <c r="X356" s="14"/>
    </row>
    <row r="357" spans="1:24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21"/>
      <c r="L357" s="11"/>
      <c r="M357" s="21"/>
      <c r="N357" s="11"/>
      <c r="O357" s="9"/>
      <c r="P357" s="9"/>
      <c r="Q357" s="9"/>
      <c r="R357" s="9"/>
      <c r="S357" s="23"/>
      <c r="T357" s="23"/>
      <c r="U357" s="24"/>
      <c r="V357" s="13"/>
      <c r="W357" s="13"/>
      <c r="X357" s="14"/>
    </row>
    <row r="358" spans="1:24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21"/>
      <c r="L358" s="11"/>
      <c r="M358" s="21"/>
      <c r="N358" s="11"/>
      <c r="O358" s="9"/>
      <c r="P358" s="9"/>
      <c r="Q358" s="9"/>
      <c r="R358" s="9"/>
      <c r="S358" s="23"/>
      <c r="T358" s="23"/>
      <c r="U358" s="24"/>
      <c r="V358" s="13"/>
      <c r="W358" s="13"/>
      <c r="X358" s="14"/>
    </row>
    <row r="359" spans="1:24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21"/>
      <c r="L359" s="11"/>
      <c r="M359" s="21"/>
      <c r="N359" s="11"/>
      <c r="O359" s="9"/>
      <c r="P359" s="9"/>
      <c r="Q359" s="9"/>
      <c r="R359" s="9"/>
      <c r="S359" s="23"/>
      <c r="T359" s="23"/>
      <c r="U359" s="24"/>
      <c r="V359" s="13"/>
      <c r="W359" s="13"/>
      <c r="X359" s="14"/>
    </row>
    <row r="360" spans="1:24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21"/>
      <c r="L360" s="11"/>
      <c r="M360" s="21"/>
      <c r="N360" s="11"/>
      <c r="O360" s="9"/>
      <c r="P360" s="9"/>
      <c r="Q360" s="9"/>
      <c r="R360" s="9"/>
      <c r="S360" s="23"/>
      <c r="T360" s="23"/>
      <c r="U360" s="24"/>
      <c r="V360" s="13"/>
      <c r="W360" s="13"/>
      <c r="X360" s="14"/>
    </row>
    <row r="361" spans="1:24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21"/>
      <c r="L361" s="11"/>
      <c r="M361" s="21"/>
      <c r="N361" s="11"/>
      <c r="O361" s="9"/>
      <c r="P361" s="9"/>
      <c r="Q361" s="9"/>
      <c r="R361" s="9"/>
      <c r="S361" s="23"/>
      <c r="T361" s="23"/>
      <c r="U361" s="24"/>
      <c r="V361" s="13"/>
      <c r="W361" s="13"/>
      <c r="X361" s="14"/>
    </row>
    <row r="362" spans="1:24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21"/>
      <c r="L362" s="11"/>
      <c r="M362" s="21"/>
      <c r="N362" s="11"/>
      <c r="O362" s="9"/>
      <c r="P362" s="9"/>
      <c r="Q362" s="9"/>
      <c r="R362" s="9"/>
      <c r="S362" s="23"/>
      <c r="T362" s="23"/>
      <c r="U362" s="24"/>
      <c r="V362" s="13"/>
      <c r="W362" s="13"/>
      <c r="X362" s="14"/>
    </row>
    <row r="363" spans="1:24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21"/>
      <c r="L363" s="11"/>
      <c r="M363" s="21"/>
      <c r="N363" s="11"/>
      <c r="O363" s="9"/>
      <c r="P363" s="9"/>
      <c r="Q363" s="9"/>
      <c r="R363" s="9"/>
      <c r="S363" s="23"/>
      <c r="T363" s="23"/>
      <c r="U363" s="24"/>
      <c r="V363" s="13"/>
      <c r="W363" s="13"/>
      <c r="X363" s="14"/>
    </row>
    <row r="364" spans="1:2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21"/>
      <c r="L364" s="11"/>
      <c r="M364" s="21"/>
      <c r="N364" s="11"/>
      <c r="O364" s="9"/>
      <c r="P364" s="9"/>
      <c r="Q364" s="9"/>
      <c r="R364" s="9"/>
      <c r="S364" s="23"/>
      <c r="T364" s="23"/>
      <c r="U364" s="24"/>
      <c r="V364" s="13"/>
      <c r="W364" s="13"/>
      <c r="X364" s="14"/>
    </row>
    <row r="365" spans="1:24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21"/>
      <c r="L365" s="11"/>
      <c r="M365" s="21"/>
      <c r="N365" s="11"/>
      <c r="O365" s="9"/>
      <c r="P365" s="9"/>
      <c r="Q365" s="9"/>
      <c r="R365" s="9"/>
      <c r="S365" s="23"/>
      <c r="T365" s="23"/>
      <c r="U365" s="24"/>
      <c r="V365" s="13"/>
      <c r="W365" s="13"/>
      <c r="X365" s="14"/>
    </row>
    <row r="366" spans="1:24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21"/>
      <c r="L366" s="11"/>
      <c r="M366" s="21"/>
      <c r="N366" s="11"/>
      <c r="O366" s="9"/>
      <c r="P366" s="9"/>
      <c r="Q366" s="9"/>
      <c r="R366" s="9"/>
      <c r="S366" s="23"/>
      <c r="T366" s="23"/>
      <c r="U366" s="24"/>
      <c r="V366" s="13"/>
      <c r="W366" s="13"/>
      <c r="X366" s="14"/>
    </row>
    <row r="367" spans="1:24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21"/>
      <c r="L367" s="11"/>
      <c r="M367" s="21"/>
      <c r="N367" s="11"/>
      <c r="O367" s="9"/>
      <c r="P367" s="9"/>
      <c r="Q367" s="9"/>
      <c r="R367" s="9"/>
      <c r="S367" s="23"/>
      <c r="T367" s="23"/>
      <c r="U367" s="24"/>
      <c r="V367" s="13"/>
      <c r="W367" s="13"/>
      <c r="X367" s="14"/>
    </row>
    <row r="368" spans="1:24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21"/>
      <c r="L368" s="11"/>
      <c r="M368" s="21"/>
      <c r="N368" s="11"/>
      <c r="O368" s="9"/>
      <c r="P368" s="9"/>
      <c r="Q368" s="9"/>
      <c r="R368" s="9"/>
      <c r="S368" s="23"/>
      <c r="T368" s="23"/>
      <c r="U368" s="24"/>
      <c r="V368" s="13"/>
      <c r="W368" s="13"/>
      <c r="X368" s="14"/>
    </row>
    <row r="369" spans="1:24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21"/>
      <c r="L369" s="11"/>
      <c r="M369" s="21"/>
      <c r="N369" s="11"/>
      <c r="O369" s="9"/>
      <c r="P369" s="9"/>
      <c r="Q369" s="9"/>
      <c r="R369" s="9"/>
      <c r="S369" s="23"/>
      <c r="T369" s="23"/>
      <c r="U369" s="24"/>
      <c r="V369" s="13"/>
      <c r="W369" s="13"/>
      <c r="X369" s="14"/>
    </row>
  </sheetData>
  <autoFilter ref="A4:X69"/>
  <dataValidations count="7">
    <dataValidation type="list" allowBlank="1" showInputMessage="1" showErrorMessage="1" sqref="C5:C5000">
      <formula1>"IR,FX,CR,EQ,CO,OT"</formula1>
    </dataValidation>
    <dataValidation type="list" allowBlank="1" showInputMessage="1" showErrorMessage="1" sqref="D5:D5000">
      <formula1>Params!$C$28:$C$53</formula1>
    </dataValidation>
    <dataValidation type="list" allowBlank="1" showInputMessage="1" showErrorMessage="1" sqref="F5:F5000">
      <formula1>"Linear,Option,CDO"</formula1>
    </dataValidation>
    <dataValidation type="list" allowBlank="1" showInputMessage="1" showErrorMessage="1" sqref="G5:G5000">
      <formula1>"Long,Short"</formula1>
    </dataValidation>
    <dataValidation type="list" allowBlank="1" showInputMessage="1" showErrorMessage="1" sqref="H5:H5000">
      <formula1>"Call,Put"</formula1>
    </dataValidation>
    <dataValidation type="list" allowBlank="1" showInputMessage="1" showErrorMessage="1" sqref="I5:I5000">
      <formula1>"Standard,Basis,Volatility"</formula1>
    </dataValidation>
    <dataValidation type="list" errorStyle="warning" allowBlank="1" showInputMessage="1" showErrorMessage="1" sqref="B5:B5000">
      <formula1>NettingSets!$A$5:$A$204</formula1>
    </dataValidation>
  </dataValidations>
  <pageMargins left="0.4" right="0.4" top="0.5" bottom="0.5" header="0.3" footer="0.3"/>
  <pageSetup paperSize="9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Results">
    <tabColor rgb="FF2E75B6"/>
    <pageSetUpPr fitToPage="1"/>
  </sheetPr>
  <dimension ref="A1:AB20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4.7109375" style="8" customWidth="1"/>
    <col min="2" max="2" width="44.7109375" style="8" customWidth="1"/>
    <col min="3" max="3" width="8.7109375" style="25" customWidth="1"/>
    <col min="4" max="4" width="9.7109375" style="25" customWidth="1"/>
    <col min="5" max="5" width="7.7109375" style="26" customWidth="1"/>
    <col min="6" max="6" width="8.7109375" style="26" customWidth="1"/>
    <col min="7" max="7" width="15.7109375" style="27" customWidth="1"/>
    <col min="8" max="8" width="15.7109375" style="27" customWidth="1"/>
    <col min="9" max="9" width="14.7109375" style="27" customWidth="1"/>
    <col min="10" max="10" width="13.7109375" style="27" customWidth="1"/>
    <col min="11" max="11" width="13.7109375" style="27" customWidth="1"/>
    <col min="12" max="12" width="13.7109375" style="27" customWidth="1"/>
    <col min="13" max="13" width="13.7109375" style="27" customWidth="1"/>
    <col min="14" max="14" width="13.7109375" style="27" customWidth="1"/>
    <col min="15" max="15" width="13.7109375" style="27" customWidth="1"/>
    <col min="16" max="16" width="14.7109375" style="27" customWidth="1"/>
    <col min="17" max="17" width="10.7109375" style="28" customWidth="1"/>
    <col min="18" max="18" width="14.7109375" style="27" customWidth="1"/>
    <col min="19" max="19" width="7.7109375" style="29" customWidth="1"/>
    <col min="20" max="20" width="15.7109375" style="27" customWidth="1"/>
    <col min="21" max="21" width="15.7109375" style="27" customWidth="1"/>
    <col min="22" max="22" width="15.7109375" style="27" customWidth="1"/>
    <col min="23" max="23" width="9.7109375" style="25" customWidth="1"/>
    <col min="24" max="24" width="15.7109375" style="27" customWidth="1"/>
    <col min="25" max="25" width="15.7109375" style="27" customWidth="1"/>
    <col min="26" max="26" width="15.7109375" style="27" customWidth="1"/>
    <col min="27" max="27" width="11.7109375" style="28" customWidth="1"/>
    <col min="28" max="28" width="34.7109375" style="8" customWidth="1"/>
  </cols>
  <sheetData>
    <row r="1" spans="1:27" ht="34" customHeight="1">
      <c r="A1" s="1" t="s">
        <v>488</v>
      </c>
    </row>
    <row r="2" spans="1:27">
      <c r="A2" s="30" t="inlineStr">
        <is>
          <t>No results yet: build the workbook from the source, then press Run SA-CCR.</t>
        </is>
      </c>
    </row>
    <row r="3">
      <c r="A3" s="30" t="str" cm="1">
        <f t="array" ref="A3">ResultsStatusText(SACCR_RunInputs,NettingSets!$A:$O,Trades!$A:$W,Params!$A:$H)</f>
        <v>No results: press Run SA-CCR.</v>
      </c>
    </row>
    <row r="4" spans="1:28" ht="42" customHeight="1">
      <c r="A4" s="31" t="s">
        <v>259</v>
      </c>
      <c r="B4" s="31" t="s">
        <v>260</v>
      </c>
      <c r="C4" s="31" t="s">
        <v>165</v>
      </c>
      <c r="D4" s="31" t="s">
        <v>490</v>
      </c>
      <c r="E4" s="31" t="s">
        <v>60</v>
      </c>
      <c r="F4" s="31" t="s">
        <v>491</v>
      </c>
      <c r="G4" s="31" t="s">
        <v>492</v>
      </c>
      <c r="H4" s="31" t="s">
        <v>493</v>
      </c>
      <c r="I4" s="31" t="s">
        <v>35</v>
      </c>
      <c r="J4" s="31" t="s">
        <v>494</v>
      </c>
      <c r="K4" s="31" t="s">
        <v>495</v>
      </c>
      <c r="L4" s="31" t="s">
        <v>496</v>
      </c>
      <c r="M4" s="31" t="s">
        <v>497</v>
      </c>
      <c r="N4" s="31" t="s">
        <v>498</v>
      </c>
      <c r="O4" s="31" t="s">
        <v>499</v>
      </c>
      <c r="P4" s="31" t="s">
        <v>500</v>
      </c>
      <c r="Q4" s="31" t="s">
        <v>501</v>
      </c>
      <c r="R4" s="31" t="s">
        <v>37</v>
      </c>
      <c r="S4" s="31" t="s">
        <v>124</v>
      </c>
      <c r="T4" s="31" t="s">
        <v>502</v>
      </c>
      <c r="U4" s="31" t="s">
        <v>503</v>
      </c>
      <c r="V4" s="31" t="s">
        <v>33</v>
      </c>
      <c r="W4" s="31" t="s">
        <v>504</v>
      </c>
      <c r="X4" s="31" t="s">
        <v>505</v>
      </c>
      <c r="Y4" s="31" t="s">
        <v>506</v>
      </c>
      <c r="Z4" s="31" t="s">
        <v>507</v>
      </c>
      <c r="AA4" s="31" t="s">
        <v>508</v>
      </c>
      <c r="AB4" s="31" t="inlineStr">
        <is>
          <t>Status</t>
        </is>
      </c>
    </row>
    <row r="5" spans="1:27">
      <c r="A5" s="8"/>
      <c r="B5" s="8"/>
      <c r="C5" s="25"/>
      <c r="D5" s="25"/>
      <c r="E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8"/>
      <c r="R5" s="27"/>
      <c r="S5" s="29"/>
      <c r="V5" s="27"/>
      <c r="W5" s="25"/>
    </row>
    <row r="6" spans="1:27">
      <c r="A6" s="8"/>
      <c r="B6" s="8"/>
      <c r="C6" s="25"/>
      <c r="D6" s="25"/>
      <c r="E6" s="26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7"/>
      <c r="S6" s="29"/>
      <c r="V6" s="27"/>
      <c r="W6" s="25"/>
    </row>
    <row r="7" spans="1:27">
      <c r="A7" s="8"/>
      <c r="B7" s="8"/>
      <c r="C7" s="25"/>
      <c r="D7" s="25"/>
      <c r="E7" s="26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  <c r="R7" s="27"/>
      <c r="S7" s="29"/>
      <c r="V7" s="27"/>
      <c r="W7" s="25"/>
    </row>
    <row r="8" spans="1:27">
      <c r="A8" s="8"/>
      <c r="B8" s="8"/>
      <c r="C8" s="25"/>
      <c r="D8" s="25"/>
      <c r="E8" s="26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7"/>
      <c r="S8" s="29"/>
      <c r="V8" s="27"/>
      <c r="W8" s="25"/>
    </row>
    <row r="9" spans="1:27">
      <c r="A9" s="8"/>
      <c r="B9" s="8"/>
      <c r="C9" s="25"/>
      <c r="D9" s="25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  <c r="R9" s="27"/>
      <c r="S9" s="29"/>
      <c r="T9" s="27"/>
      <c r="U9" s="27"/>
      <c r="V9" s="27"/>
      <c r="W9" s="25"/>
      <c r="X9" s="27"/>
      <c r="Y9" s="27"/>
      <c r="Z9" s="27"/>
      <c r="AA9" s="28"/>
    </row>
    <row r="10" spans="1:27">
      <c r="A10" s="8"/>
      <c r="B10" s="8"/>
      <c r="C10" s="25"/>
      <c r="D10" s="25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  <c r="R10" s="27"/>
      <c r="S10" s="29"/>
      <c r="T10" s="27"/>
      <c r="U10" s="27"/>
      <c r="V10" s="27"/>
      <c r="W10" s="25"/>
      <c r="X10" s="27"/>
      <c r="Y10" s="27"/>
      <c r="Z10" s="27"/>
      <c r="AA10" s="28"/>
    </row>
    <row r="11" spans="1:27">
      <c r="A11" s="8"/>
      <c r="B11" s="8"/>
      <c r="C11" s="25"/>
      <c r="D11" s="25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27"/>
      <c r="S11" s="29"/>
      <c r="T11" s="27"/>
      <c r="U11" s="27"/>
      <c r="V11" s="27"/>
      <c r="W11" s="25"/>
      <c r="X11" s="27"/>
      <c r="Y11" s="27"/>
      <c r="Z11" s="27"/>
      <c r="AA11" s="28"/>
    </row>
    <row r="12" spans="1:27">
      <c r="A12" s="8"/>
      <c r="B12" s="8"/>
      <c r="C12" s="25"/>
      <c r="D12" s="25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  <c r="R12" s="27"/>
      <c r="S12" s="29"/>
      <c r="T12" s="27"/>
      <c r="U12" s="27"/>
      <c r="V12" s="27"/>
      <c r="W12" s="25"/>
      <c r="X12" s="27"/>
      <c r="Y12" s="27"/>
      <c r="Z12" s="27"/>
      <c r="AA12" s="28"/>
    </row>
    <row r="13" spans="1:27">
      <c r="A13" s="8"/>
      <c r="B13" s="8"/>
      <c r="C13" s="25"/>
      <c r="D13" s="25"/>
      <c r="E13" s="2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  <c r="R13" s="27"/>
      <c r="S13" s="29"/>
      <c r="V13" s="27"/>
      <c r="W13" s="25"/>
    </row>
    <row r="14" spans="1:27">
      <c r="A14" s="8"/>
      <c r="B14" s="8"/>
      <c r="C14" s="25"/>
      <c r="D14" s="25"/>
      <c r="E14" s="26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S14" s="29"/>
      <c r="V14" s="27"/>
      <c r="W14" s="25"/>
    </row>
    <row r="15" spans="1:27">
      <c r="A15" s="8"/>
      <c r="B15" s="8"/>
      <c r="C15" s="25"/>
      <c r="D15" s="25"/>
      <c r="E15" s="26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27"/>
      <c r="S15" s="29"/>
      <c r="V15" s="27"/>
      <c r="W15" s="25"/>
    </row>
    <row r="16" spans="1:27">
      <c r="A16" s="8"/>
      <c r="B16" s="8"/>
      <c r="C16" s="25"/>
      <c r="D16" s="25"/>
      <c r="E16" s="2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7"/>
      <c r="S16" s="29"/>
      <c r="V16" s="27"/>
      <c r="W16" s="25"/>
    </row>
    <row r="17" spans="1:27">
      <c r="A17" s="8"/>
      <c r="B17" s="8"/>
      <c r="C17" s="25"/>
      <c r="D17" s="25"/>
      <c r="E17" s="26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7"/>
      <c r="S17" s="29"/>
      <c r="V17" s="27"/>
      <c r="W17" s="25"/>
    </row>
    <row r="18" spans="1:27">
      <c r="A18" s="8"/>
      <c r="B18" s="8"/>
      <c r="C18" s="25"/>
      <c r="D18" s="25"/>
      <c r="E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27"/>
      <c r="S18" s="29"/>
      <c r="V18" s="27"/>
      <c r="W18" s="25"/>
    </row>
    <row r="19" spans="1:27">
      <c r="A19" s="8"/>
      <c r="B19" s="8"/>
      <c r="C19" s="25"/>
      <c r="D19" s="25"/>
      <c r="E19" s="26"/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27"/>
      <c r="S19" s="29"/>
      <c r="T19" s="27"/>
      <c r="U19" s="27"/>
      <c r="V19" s="27"/>
      <c r="W19" s="25"/>
      <c r="X19" s="27"/>
      <c r="Y19" s="27"/>
      <c r="Z19" s="27"/>
      <c r="AA19" s="28"/>
    </row>
    <row r="20" spans="1:27">
      <c r="A20" s="32"/>
      <c r="B20" s="32"/>
      <c r="C20" s="33"/>
      <c r="D20" s="33"/>
      <c r="E20" s="34"/>
      <c r="F20" s="3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35"/>
      <c r="S20" s="37"/>
      <c r="T20" s="35"/>
      <c r="U20" s="35"/>
      <c r="V20" s="35"/>
      <c r="W20" s="33"/>
      <c r="X20" s="35"/>
      <c r="Y20" s="35"/>
      <c r="Z20" s="35"/>
      <c r="AA20" s="36"/>
    </row>
  </sheetData>
  <conditionalFormatting sqref="A3">
    <cfRule type="beginsWith" dxfId="1" priority="1" operator="beginsWith" text="OUT OF DATE">
      <formula>LEFT(A3,LEN("OUT OF DATE"))="OUT OF DATE"</formula>
    </cfRule>
  </conditionalFormatting>
  <pageMargins left="0.4" right="0.4" top="0.5" bottom="0.5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HedgingSets">
    <tabColor rgb="FF2E75B6"/>
    <pageSetUpPr fitToPage="1"/>
  </sheetPr>
  <dimension ref="A1:N42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style="8" customWidth="1"/>
    <col min="2" max="2" width="8.7109375" style="8" customWidth="1"/>
    <col min="3" max="3" width="34.7109375" style="8" customWidth="1"/>
    <col min="4" max="4" width="7.7109375" style="26" customWidth="1"/>
    <col min="5" max="5" width="14.7109375" style="27" customWidth="1"/>
    <col min="6" max="6" width="14.7109375" style="27" customWidth="1"/>
    <col min="7" max="7" width="14.7109375" style="27" customWidth="1"/>
    <col min="8" max="8" width="15.7109375" style="27" customWidth="1"/>
    <col min="9" max="9" width="15.7109375" style="27" customWidth="1"/>
    <col min="10" max="10" width="17.7109375" style="27" customWidth="1"/>
    <col min="11" max="11" width="15.7109375" style="27" customWidth="1"/>
    <col min="12" max="12" width="15.7109375" style="27" customWidth="1"/>
    <col min="13" max="13" width="11.7109375" style="8" customWidth="1"/>
    <col min="14" max="14" width="9.7109375" style="38" customWidth="1"/>
  </cols>
  <sheetData>
    <row r="1" spans="1:14" ht="34" customHeight="1">
      <c r="A1" s="1" t="s">
        <v>511</v>
      </c>
    </row>
    <row r="2" spans="1:14">
      <c r="A2" s="2" t="s">
        <v>512</v>
      </c>
    </row>
    <row r="4" spans="1:14" ht="42" customHeight="1">
      <c r="A4" s="31" t="s">
        <v>259</v>
      </c>
      <c r="B4" s="31" t="s">
        <v>177</v>
      </c>
      <c r="C4" s="31" t="s">
        <v>513</v>
      </c>
      <c r="D4" s="31" t="s">
        <v>60</v>
      </c>
      <c r="E4" s="31" t="s">
        <v>514</v>
      </c>
      <c r="F4" s="31" t="s">
        <v>515</v>
      </c>
      <c r="G4" s="31" t="s">
        <v>516</v>
      </c>
      <c r="H4" s="31" t="s">
        <v>517</v>
      </c>
      <c r="I4" s="31" t="s">
        <v>518</v>
      </c>
      <c r="J4" s="31" t="s">
        <v>519</v>
      </c>
      <c r="K4" s="31" t="s">
        <v>520</v>
      </c>
      <c r="L4" s="31" t="s">
        <v>521</v>
      </c>
      <c r="M4" s="31" t="s">
        <v>427</v>
      </c>
      <c r="N4" s="31" t="s">
        <v>522</v>
      </c>
    </row>
    <row r="5" spans="1:14">
      <c r="A5" s="8"/>
      <c r="B5" s="8"/>
      <c r="C5" s="8"/>
      <c r="D5" s="26"/>
      <c r="E5" s="27"/>
      <c r="F5" s="27"/>
      <c r="G5" s="27"/>
      <c r="H5" s="27"/>
      <c r="K5" s="27"/>
      <c r="L5" s="27"/>
      <c r="M5" s="8"/>
      <c r="N5" s="38"/>
    </row>
    <row r="6" spans="1:14">
      <c r="A6" s="8"/>
      <c r="B6" s="8"/>
      <c r="C6" s="8"/>
      <c r="D6" s="26"/>
      <c r="E6" s="27"/>
      <c r="F6" s="27"/>
      <c r="G6" s="27"/>
      <c r="H6" s="27"/>
      <c r="K6" s="27"/>
      <c r="L6" s="27"/>
      <c r="M6" s="8"/>
      <c r="N6" s="38"/>
    </row>
    <row r="7" spans="1:14">
      <c r="A7" s="8"/>
      <c r="B7" s="8"/>
      <c r="C7" s="8"/>
      <c r="D7" s="26"/>
      <c r="I7" s="27"/>
      <c r="J7" s="27"/>
      <c r="K7" s="27"/>
      <c r="L7" s="27"/>
      <c r="M7" s="8"/>
    </row>
    <row r="8" spans="1:14">
      <c r="A8" s="8"/>
      <c r="B8" s="8"/>
      <c r="C8" s="8"/>
      <c r="D8" s="26"/>
      <c r="I8" s="27"/>
      <c r="J8" s="27"/>
      <c r="K8" s="27"/>
      <c r="L8" s="27"/>
      <c r="M8" s="8"/>
    </row>
    <row r="9" spans="1:14">
      <c r="A9" s="8"/>
      <c r="B9" s="8"/>
      <c r="C9" s="8"/>
      <c r="D9" s="26"/>
      <c r="I9" s="27"/>
      <c r="J9" s="27"/>
      <c r="K9" s="27"/>
      <c r="L9" s="27"/>
      <c r="M9" s="8"/>
    </row>
    <row r="10" spans="1:14">
      <c r="A10" s="8"/>
      <c r="B10" s="8"/>
      <c r="C10" s="8"/>
      <c r="D10" s="26"/>
      <c r="E10" s="27"/>
      <c r="F10" s="27"/>
      <c r="G10" s="27"/>
      <c r="H10" s="27"/>
      <c r="K10" s="27"/>
      <c r="L10" s="27"/>
      <c r="M10" s="8"/>
      <c r="N10" s="38"/>
    </row>
    <row r="11" spans="1:14">
      <c r="A11" s="8"/>
      <c r="B11" s="8"/>
      <c r="C11" s="8"/>
      <c r="D11" s="26"/>
      <c r="E11" s="27"/>
      <c r="F11" s="27"/>
      <c r="G11" s="27"/>
      <c r="H11" s="27"/>
      <c r="K11" s="27"/>
      <c r="L11" s="27"/>
      <c r="M11" s="8"/>
      <c r="N11" s="38"/>
    </row>
    <row r="12" spans="1:14">
      <c r="A12" s="8"/>
      <c r="B12" s="8"/>
      <c r="C12" s="8"/>
      <c r="D12" s="26"/>
      <c r="I12" s="27"/>
      <c r="J12" s="27"/>
      <c r="K12" s="27"/>
      <c r="L12" s="27"/>
      <c r="M12" s="8"/>
    </row>
    <row r="13" spans="1:14">
      <c r="A13" s="8"/>
      <c r="B13" s="8"/>
      <c r="C13" s="8"/>
      <c r="D13" s="26"/>
      <c r="E13" s="27"/>
      <c r="F13" s="27"/>
      <c r="G13" s="27"/>
      <c r="H13" s="27"/>
      <c r="K13" s="27"/>
      <c r="L13" s="27"/>
      <c r="M13" s="8"/>
      <c r="N13" s="38"/>
    </row>
    <row r="14" spans="1:14">
      <c r="A14" s="8"/>
      <c r="B14" s="8"/>
      <c r="C14" s="8"/>
      <c r="D14" s="26"/>
      <c r="E14" s="27"/>
      <c r="F14" s="27"/>
      <c r="G14" s="27"/>
      <c r="H14" s="27"/>
      <c r="K14" s="27"/>
      <c r="L14" s="27"/>
      <c r="M14" s="8"/>
      <c r="N14" s="38"/>
    </row>
    <row r="15" spans="1:14">
      <c r="A15" s="8"/>
      <c r="B15" s="8"/>
      <c r="C15" s="8"/>
      <c r="D15" s="26"/>
      <c r="I15" s="27"/>
      <c r="J15" s="27"/>
      <c r="K15" s="27"/>
      <c r="L15" s="27"/>
      <c r="M15" s="8"/>
    </row>
    <row r="16" spans="1:14">
      <c r="A16" s="8"/>
      <c r="B16" s="8"/>
      <c r="C16" s="8"/>
      <c r="D16" s="26"/>
      <c r="I16" s="27"/>
      <c r="J16" s="27"/>
      <c r="K16" s="27"/>
      <c r="L16" s="27"/>
      <c r="M16" s="8"/>
    </row>
    <row r="17" spans="1:14">
      <c r="A17" s="8"/>
      <c r="B17" s="8"/>
      <c r="C17" s="8"/>
      <c r="D17" s="26"/>
      <c r="E17" s="27"/>
      <c r="F17" s="27"/>
      <c r="G17" s="27"/>
      <c r="H17" s="27"/>
      <c r="K17" s="27"/>
      <c r="L17" s="27"/>
      <c r="M17" s="8"/>
      <c r="N17" s="38"/>
    </row>
    <row r="18" spans="1:14">
      <c r="A18" s="8"/>
      <c r="B18" s="8"/>
      <c r="C18" s="8"/>
      <c r="D18" s="26"/>
      <c r="E18" s="27"/>
      <c r="F18" s="27"/>
      <c r="G18" s="27"/>
      <c r="H18" s="27"/>
      <c r="K18" s="27"/>
      <c r="L18" s="27"/>
      <c r="M18" s="8"/>
      <c r="N18" s="38"/>
    </row>
    <row r="19" spans="1:14">
      <c r="A19" s="8"/>
      <c r="B19" s="8"/>
      <c r="C19" s="8"/>
      <c r="D19" s="26"/>
      <c r="I19" s="27"/>
      <c r="J19" s="27"/>
      <c r="K19" s="27"/>
      <c r="L19" s="27"/>
      <c r="M19" s="8"/>
    </row>
    <row r="20" spans="1:14">
      <c r="A20" s="8"/>
      <c r="B20" s="8"/>
      <c r="C20" s="8"/>
      <c r="D20" s="26"/>
      <c r="I20" s="27"/>
      <c r="J20" s="27"/>
      <c r="K20" s="27"/>
      <c r="L20" s="27"/>
      <c r="M20" s="8"/>
    </row>
    <row r="21" spans="1:14">
      <c r="A21" s="8"/>
      <c r="B21" s="8"/>
      <c r="C21" s="8"/>
      <c r="D21" s="26"/>
      <c r="E21" s="27"/>
      <c r="F21" s="27"/>
      <c r="G21" s="27"/>
      <c r="H21" s="27"/>
      <c r="K21" s="27"/>
      <c r="L21" s="27"/>
      <c r="M21" s="8"/>
      <c r="N21" s="38"/>
    </row>
    <row r="22" spans="1:14">
      <c r="A22" s="8"/>
      <c r="B22" s="8"/>
      <c r="C22" s="8"/>
      <c r="D22" s="26"/>
      <c r="E22" s="27"/>
      <c r="F22" s="27"/>
      <c r="G22" s="27"/>
      <c r="H22" s="27"/>
      <c r="K22" s="27"/>
      <c r="L22" s="27"/>
      <c r="M22" s="8"/>
      <c r="N22" s="38"/>
    </row>
    <row r="23" spans="1:14">
      <c r="A23" s="8"/>
      <c r="B23" s="8"/>
      <c r="C23" s="8"/>
      <c r="D23" s="26"/>
      <c r="E23" s="27"/>
      <c r="F23" s="27"/>
      <c r="G23" s="27"/>
      <c r="H23" s="27"/>
      <c r="K23" s="27"/>
      <c r="L23" s="27"/>
      <c r="M23" s="8"/>
      <c r="N23" s="38"/>
    </row>
    <row r="24" spans="1:14">
      <c r="A24" s="8"/>
      <c r="B24" s="8"/>
      <c r="C24" s="8"/>
      <c r="D24" s="26"/>
      <c r="E24" s="27"/>
      <c r="F24" s="27"/>
      <c r="G24" s="27"/>
      <c r="H24" s="27"/>
      <c r="K24" s="27"/>
      <c r="L24" s="27"/>
      <c r="M24" s="8"/>
      <c r="N24" s="38"/>
    </row>
    <row r="25" spans="1:14">
      <c r="A25" s="8"/>
      <c r="B25" s="8"/>
      <c r="C25" s="8"/>
      <c r="D25" s="26"/>
      <c r="E25" s="27"/>
      <c r="F25" s="27"/>
      <c r="G25" s="27"/>
      <c r="H25" s="27"/>
      <c r="K25" s="27"/>
      <c r="L25" s="27"/>
      <c r="M25" s="8"/>
      <c r="N25" s="38"/>
    </row>
    <row r="26" spans="1:14">
      <c r="A26" s="8"/>
      <c r="B26" s="8"/>
      <c r="C26" s="8"/>
      <c r="D26" s="26"/>
      <c r="I26" s="27"/>
      <c r="J26" s="27"/>
      <c r="K26" s="27"/>
      <c r="L26" s="27"/>
      <c r="M26" s="8"/>
    </row>
    <row r="27" spans="1:14">
      <c r="A27" s="8"/>
      <c r="B27" s="8"/>
      <c r="C27" s="8"/>
      <c r="D27" s="26"/>
      <c r="H27" s="27"/>
      <c r="K27" s="27"/>
      <c r="L27" s="27"/>
      <c r="M27" s="8"/>
      <c r="N27" s="38"/>
    </row>
    <row r="28" spans="1:14">
      <c r="A28" s="8"/>
      <c r="B28" s="8"/>
      <c r="C28" s="8"/>
      <c r="D28" s="26"/>
      <c r="H28" s="27"/>
      <c r="K28" s="27"/>
      <c r="L28" s="27"/>
      <c r="M28" s="8"/>
      <c r="N28" s="38"/>
    </row>
    <row r="29" spans="1:14">
      <c r="A29" s="8"/>
      <c r="B29" s="8"/>
      <c r="C29" s="8"/>
      <c r="D29" s="26"/>
      <c r="I29" s="27"/>
      <c r="J29" s="27"/>
      <c r="K29" s="27"/>
      <c r="L29" s="27"/>
      <c r="M29" s="8"/>
    </row>
    <row r="30" spans="1:14">
      <c r="A30" s="8"/>
      <c r="B30" s="8"/>
      <c r="C30" s="8"/>
      <c r="D30" s="26"/>
      <c r="E30" s="27"/>
      <c r="F30" s="27"/>
      <c r="G30" s="27"/>
      <c r="H30" s="27"/>
      <c r="K30" s="27"/>
      <c r="L30" s="27"/>
      <c r="M30" s="8"/>
      <c r="N30" s="38"/>
    </row>
    <row r="31" spans="1:14">
      <c r="A31" s="8"/>
      <c r="B31" s="8"/>
      <c r="C31" s="8"/>
      <c r="D31" s="26"/>
      <c r="E31" s="27"/>
      <c r="F31" s="27"/>
      <c r="G31" s="27"/>
      <c r="H31" s="27"/>
      <c r="K31" s="27"/>
      <c r="L31" s="27"/>
      <c r="M31" s="8"/>
      <c r="N31" s="38"/>
    </row>
    <row r="32" spans="1:14">
      <c r="A32" s="8"/>
      <c r="B32" s="8"/>
      <c r="C32" s="8"/>
      <c r="D32" s="26"/>
      <c r="E32" s="27"/>
      <c r="F32" s="27"/>
      <c r="G32" s="27"/>
      <c r="H32" s="27"/>
      <c r="K32" s="27"/>
      <c r="L32" s="27"/>
      <c r="M32" s="8"/>
      <c r="N32" s="38"/>
    </row>
    <row r="33" spans="1:14">
      <c r="A33" s="8"/>
      <c r="B33" s="8"/>
      <c r="C33" s="8"/>
      <c r="D33" s="26"/>
      <c r="H33" s="27"/>
      <c r="K33" s="27"/>
      <c r="L33" s="27"/>
      <c r="M33" s="8"/>
      <c r="N33" s="38"/>
    </row>
    <row r="34" spans="1:14">
      <c r="A34" s="8"/>
      <c r="B34" s="8"/>
      <c r="C34" s="8"/>
      <c r="D34" s="26"/>
      <c r="H34" s="27"/>
      <c r="K34" s="27"/>
      <c r="L34" s="27"/>
      <c r="M34" s="8"/>
      <c r="N34" s="38"/>
    </row>
    <row r="35" spans="1:14">
      <c r="A35" s="8"/>
      <c r="B35" s="8"/>
      <c r="C35" s="8"/>
      <c r="D35" s="26"/>
      <c r="H35" s="27"/>
      <c r="K35" s="27"/>
      <c r="L35" s="27"/>
      <c r="M35" s="8"/>
      <c r="N35" s="38"/>
    </row>
    <row r="36" spans="1:14">
      <c r="A36" s="8"/>
      <c r="B36" s="8"/>
      <c r="C36" s="8"/>
      <c r="D36" s="26"/>
      <c r="E36" s="27"/>
      <c r="F36" s="27"/>
      <c r="G36" s="27"/>
      <c r="H36" s="27"/>
      <c r="K36" s="27"/>
      <c r="L36" s="27"/>
      <c r="M36" s="8"/>
      <c r="N36" s="38"/>
    </row>
    <row r="37" spans="1:14">
      <c r="A37" s="8"/>
      <c r="B37" s="8"/>
      <c r="C37" s="8"/>
      <c r="D37" s="26"/>
      <c r="I37" s="27"/>
      <c r="J37" s="27"/>
      <c r="K37" s="27"/>
      <c r="L37" s="27"/>
      <c r="M37" s="8"/>
    </row>
    <row r="38" spans="1:14">
      <c r="A38" s="8"/>
      <c r="B38" s="8"/>
      <c r="C38" s="8"/>
      <c r="D38" s="26"/>
      <c r="I38" s="27"/>
      <c r="J38" s="27"/>
      <c r="K38" s="27"/>
      <c r="L38" s="27"/>
      <c r="M38" s="8"/>
    </row>
    <row r="39" spans="1:14">
      <c r="A39" s="8"/>
      <c r="B39" s="8"/>
      <c r="C39" s="8"/>
      <c r="D39" s="26"/>
      <c r="I39" s="27"/>
      <c r="J39" s="27"/>
      <c r="K39" s="27"/>
      <c r="L39" s="27"/>
      <c r="M39" s="8"/>
    </row>
    <row r="40" spans="1:14">
      <c r="A40" s="8"/>
      <c r="B40" s="8"/>
      <c r="C40" s="8"/>
      <c r="D40" s="26"/>
      <c r="I40" s="27"/>
      <c r="J40" s="27"/>
      <c r="K40" s="27"/>
      <c r="L40" s="27"/>
      <c r="M40" s="8"/>
    </row>
    <row r="41" spans="1:14">
      <c r="A41" s="8"/>
      <c r="B41" s="8"/>
      <c r="C41" s="8"/>
      <c r="D41" s="26"/>
      <c r="I41" s="27"/>
      <c r="J41" s="27"/>
      <c r="K41" s="27"/>
      <c r="L41" s="27"/>
      <c r="M41" s="8"/>
    </row>
    <row r="42" spans="1:14">
      <c r="A42" s="8"/>
      <c r="B42" s="8"/>
      <c r="C42" s="8"/>
      <c r="D42" s="26"/>
      <c r="I42" s="27"/>
      <c r="J42" s="27"/>
      <c r="K42" s="27"/>
      <c r="L42" s="27"/>
      <c r="M42" s="8"/>
    </row>
  </sheetData>
  <pageMargins left="0.4" right="0.4" top="0.5" bottom="0.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Buckets">
    <tabColor rgb="FF2E75B6"/>
    <pageSetUpPr fitToPage="1"/>
  </sheetPr>
  <dimension ref="A1:K5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style="8" customWidth="1"/>
    <col min="2" max="2" width="8.7109375" style="8" customWidth="1"/>
    <col min="3" max="3" width="34.7109375" style="8" customWidth="1"/>
    <col min="4" max="4" width="26.7109375" style="8" customWidth="1"/>
    <col min="5" max="5" width="7.7109375" style="26" customWidth="1"/>
    <col min="6" max="6" width="8.7109375" style="38" customWidth="1"/>
    <col min="7" max="7" width="9.7109375" style="39" customWidth="1"/>
    <col min="8" max="8" width="16.7109375" style="27" customWidth="1"/>
    <col min="9" max="9" width="16.7109375" style="27" customWidth="1"/>
    <col min="10" max="10" width="16.7109375" style="27" customWidth="1"/>
    <col min="11" max="11" width="16.7109375" style="27" customWidth="1"/>
  </cols>
  <sheetData>
    <row r="1" spans="1:11" ht="34" customHeight="1">
      <c r="A1" s="1" t="s">
        <v>540</v>
      </c>
    </row>
    <row r="2" spans="1:11">
      <c r="A2" s="2" t="s">
        <v>541</v>
      </c>
    </row>
    <row r="4" spans="1:11" ht="42" customHeight="1">
      <c r="A4" s="31" t="s">
        <v>259</v>
      </c>
      <c r="B4" s="31" t="s">
        <v>177</v>
      </c>
      <c r="C4" s="31" t="s">
        <v>513</v>
      </c>
      <c r="D4" s="31" t="s">
        <v>542</v>
      </c>
      <c r="E4" s="31" t="s">
        <v>60</v>
      </c>
      <c r="F4" s="31" t="s">
        <v>543</v>
      </c>
      <c r="G4" s="31" t="s">
        <v>180</v>
      </c>
      <c r="H4" s="31" t="s">
        <v>544</v>
      </c>
      <c r="I4" s="31" t="s">
        <v>545</v>
      </c>
      <c r="J4" s="31" t="s">
        <v>546</v>
      </c>
      <c r="K4" s="31" t="s">
        <v>547</v>
      </c>
    </row>
    <row r="5" spans="1:11">
      <c r="A5" s="8"/>
      <c r="B5" s="8"/>
      <c r="C5" s="8"/>
      <c r="D5" s="8"/>
      <c r="E5" s="26"/>
      <c r="F5" s="38"/>
      <c r="H5" s="27"/>
    </row>
    <row r="6" spans="1:11">
      <c r="A6" s="8"/>
      <c r="B6" s="8"/>
      <c r="C6" s="8"/>
      <c r="D6" s="8"/>
      <c r="E6" s="26"/>
      <c r="F6" s="38"/>
      <c r="H6" s="27"/>
    </row>
    <row r="7" spans="1:11">
      <c r="A7" s="8"/>
      <c r="B7" s="8"/>
      <c r="C7" s="8"/>
      <c r="D7" s="8"/>
      <c r="E7" s="26"/>
      <c r="F7" s="38"/>
      <c r="H7" s="27"/>
    </row>
    <row r="8" spans="1:11">
      <c r="A8" s="8"/>
      <c r="B8" s="8"/>
      <c r="C8" s="8"/>
      <c r="D8" s="8"/>
      <c r="E8" s="26"/>
      <c r="F8" s="38"/>
      <c r="G8" s="39"/>
      <c r="H8" s="27"/>
      <c r="J8" s="27"/>
    </row>
    <row r="9" spans="1:11">
      <c r="A9" s="8"/>
      <c r="B9" s="8"/>
      <c r="C9" s="8"/>
      <c r="D9" s="8"/>
      <c r="E9" s="26"/>
      <c r="F9" s="38"/>
      <c r="G9" s="39"/>
      <c r="H9" s="27"/>
      <c r="J9" s="27"/>
    </row>
    <row r="10" spans="1:11">
      <c r="A10" s="8"/>
      <c r="B10" s="8"/>
      <c r="C10" s="8"/>
      <c r="D10" s="8"/>
      <c r="E10" s="26"/>
      <c r="F10" s="38"/>
      <c r="G10" s="39"/>
      <c r="H10" s="27"/>
      <c r="J10" s="27"/>
    </row>
    <row r="11" spans="1:11">
      <c r="A11" s="8"/>
      <c r="B11" s="8"/>
      <c r="C11" s="8"/>
      <c r="D11" s="8"/>
      <c r="E11" s="26"/>
      <c r="F11" s="38"/>
      <c r="G11" s="39"/>
      <c r="H11" s="27"/>
      <c r="J11" s="27"/>
    </row>
    <row r="12" spans="1:11">
      <c r="A12" s="8"/>
      <c r="B12" s="8"/>
      <c r="C12" s="8"/>
      <c r="D12" s="8"/>
      <c r="E12" s="26"/>
      <c r="F12" s="38"/>
      <c r="G12" s="39"/>
      <c r="H12" s="27"/>
      <c r="J12" s="27"/>
    </row>
    <row r="13" spans="1:11">
      <c r="A13" s="8"/>
      <c r="B13" s="8"/>
      <c r="C13" s="8"/>
      <c r="D13" s="8"/>
      <c r="E13" s="26"/>
      <c r="F13" s="38"/>
      <c r="H13" s="27"/>
    </row>
    <row r="14" spans="1:11">
      <c r="A14" s="8"/>
      <c r="B14" s="8"/>
      <c r="C14" s="8"/>
      <c r="D14" s="8"/>
      <c r="E14" s="26"/>
      <c r="F14" s="38"/>
      <c r="H14" s="27"/>
    </row>
    <row r="15" spans="1:11">
      <c r="A15" s="8"/>
      <c r="B15" s="8"/>
      <c r="C15" s="8"/>
      <c r="D15" s="8"/>
      <c r="E15" s="26"/>
      <c r="F15" s="38"/>
      <c r="H15" s="27"/>
    </row>
    <row r="16" spans="1:11">
      <c r="A16" s="8"/>
      <c r="B16" s="8"/>
      <c r="C16" s="8"/>
      <c r="D16" s="8"/>
      <c r="E16" s="26"/>
      <c r="F16" s="38"/>
      <c r="G16" s="39"/>
      <c r="H16" s="27"/>
      <c r="J16" s="27"/>
    </row>
    <row r="17" spans="1:11">
      <c r="A17" s="8"/>
      <c r="B17" s="8"/>
      <c r="C17" s="8"/>
      <c r="D17" s="8"/>
      <c r="E17" s="26"/>
      <c r="F17" s="38"/>
      <c r="G17" s="39"/>
      <c r="H17" s="27"/>
      <c r="J17" s="27"/>
    </row>
    <row r="18" spans="1:11">
      <c r="A18" s="8"/>
      <c r="B18" s="8"/>
      <c r="C18" s="8"/>
      <c r="D18" s="8"/>
      <c r="E18" s="26"/>
      <c r="F18" s="38"/>
      <c r="G18" s="39"/>
      <c r="H18" s="27"/>
      <c r="J18" s="27"/>
    </row>
    <row r="19" spans="1:11">
      <c r="A19" s="8"/>
      <c r="B19" s="8"/>
      <c r="C19" s="8"/>
      <c r="D19" s="8"/>
      <c r="E19" s="26"/>
      <c r="F19" s="38"/>
      <c r="H19" s="27"/>
      <c r="I19" s="27"/>
    </row>
    <row r="20" spans="1:11">
      <c r="A20" s="8"/>
      <c r="B20" s="8"/>
      <c r="C20" s="8"/>
      <c r="D20" s="8"/>
      <c r="E20" s="26"/>
      <c r="F20" s="38"/>
      <c r="H20" s="27"/>
      <c r="I20" s="27"/>
    </row>
    <row r="21" spans="1:11">
      <c r="A21" s="8"/>
      <c r="B21" s="8"/>
      <c r="C21" s="8"/>
      <c r="D21" s="8"/>
      <c r="E21" s="26"/>
      <c r="F21" s="38"/>
      <c r="H21" s="27"/>
      <c r="I21" s="27"/>
    </row>
    <row r="22" spans="1:11">
      <c r="A22" s="8"/>
      <c r="B22" s="8"/>
      <c r="C22" s="8"/>
      <c r="D22" s="8"/>
      <c r="E22" s="26"/>
      <c r="F22" s="38"/>
      <c r="G22" s="39"/>
      <c r="H22" s="27"/>
      <c r="I22" s="27"/>
      <c r="J22" s="27"/>
      <c r="K22" s="27"/>
    </row>
    <row r="23" spans="1:11">
      <c r="A23" s="8"/>
      <c r="B23" s="8"/>
      <c r="C23" s="8"/>
      <c r="D23" s="8"/>
      <c r="E23" s="26"/>
      <c r="F23" s="38"/>
      <c r="G23" s="39"/>
      <c r="H23" s="27"/>
      <c r="I23" s="27"/>
      <c r="J23" s="27"/>
      <c r="K23" s="27"/>
    </row>
    <row r="24" spans="1:11">
      <c r="A24" s="8"/>
      <c r="B24" s="8"/>
      <c r="C24" s="8"/>
      <c r="D24" s="8"/>
      <c r="E24" s="26"/>
      <c r="F24" s="38"/>
      <c r="H24" s="27"/>
      <c r="I24" s="27"/>
    </row>
    <row r="25" spans="1:11">
      <c r="A25" s="8"/>
      <c r="B25" s="8"/>
      <c r="C25" s="8"/>
      <c r="D25" s="8"/>
      <c r="E25" s="26"/>
      <c r="F25" s="38"/>
      <c r="H25" s="27"/>
      <c r="I25" s="27"/>
    </row>
    <row r="26" spans="1:11">
      <c r="A26" s="8"/>
      <c r="B26" s="8"/>
      <c r="C26" s="8"/>
      <c r="D26" s="8"/>
      <c r="E26" s="26"/>
      <c r="F26" s="38"/>
      <c r="H26" s="27"/>
      <c r="I26" s="27"/>
    </row>
    <row r="27" spans="1:11">
      <c r="A27" s="8"/>
      <c r="B27" s="8"/>
      <c r="C27" s="8"/>
      <c r="D27" s="8"/>
      <c r="E27" s="26"/>
      <c r="F27" s="38"/>
      <c r="G27" s="39"/>
      <c r="H27" s="27"/>
      <c r="I27" s="27"/>
      <c r="J27" s="27"/>
      <c r="K27" s="27"/>
    </row>
    <row r="28" spans="1:11">
      <c r="A28" s="8"/>
      <c r="B28" s="8"/>
      <c r="C28" s="8"/>
      <c r="D28" s="8"/>
      <c r="E28" s="26"/>
      <c r="F28" s="38"/>
      <c r="G28" s="39"/>
      <c r="H28" s="27"/>
      <c r="I28" s="27"/>
      <c r="J28" s="27"/>
      <c r="K28" s="27"/>
    </row>
    <row r="29" spans="1:11">
      <c r="A29" s="8"/>
      <c r="B29" s="8"/>
      <c r="C29" s="8"/>
      <c r="D29" s="8"/>
      <c r="E29" s="26"/>
      <c r="F29" s="38"/>
      <c r="H29" s="27"/>
    </row>
    <row r="30" spans="1:11">
      <c r="A30" s="8"/>
      <c r="B30" s="8"/>
      <c r="C30" s="8"/>
      <c r="D30" s="8"/>
      <c r="E30" s="26"/>
      <c r="F30" s="38"/>
      <c r="H30" s="27"/>
    </row>
    <row r="31" spans="1:11">
      <c r="A31" s="8"/>
      <c r="B31" s="8"/>
      <c r="C31" s="8"/>
      <c r="D31" s="8"/>
      <c r="E31" s="26"/>
      <c r="F31" s="38"/>
      <c r="H31" s="27"/>
    </row>
    <row r="32" spans="1:11">
      <c r="A32" s="8"/>
      <c r="B32" s="8"/>
      <c r="C32" s="8"/>
      <c r="D32" s="8"/>
      <c r="E32" s="26"/>
      <c r="F32" s="38"/>
      <c r="H32" s="27"/>
      <c r="I32" s="27"/>
    </row>
    <row r="33" spans="1:11">
      <c r="A33" s="8"/>
      <c r="B33" s="8"/>
      <c r="C33" s="8"/>
      <c r="D33" s="8"/>
      <c r="E33" s="26"/>
      <c r="F33" s="38"/>
      <c r="H33" s="27"/>
      <c r="I33" s="27"/>
    </row>
    <row r="34" spans="1:11">
      <c r="A34" s="8"/>
      <c r="B34" s="8"/>
      <c r="C34" s="8"/>
      <c r="D34" s="8"/>
      <c r="E34" s="26"/>
      <c r="F34" s="38"/>
      <c r="H34" s="27"/>
    </row>
    <row r="35" spans="1:11">
      <c r="A35" s="8"/>
      <c r="B35" s="8"/>
      <c r="C35" s="8"/>
      <c r="D35" s="8"/>
      <c r="E35" s="26"/>
      <c r="F35" s="38"/>
      <c r="G35" s="39"/>
      <c r="H35" s="27"/>
      <c r="J35" s="27"/>
    </row>
    <row r="36" spans="1:11">
      <c r="A36" s="8"/>
      <c r="B36" s="8"/>
      <c r="C36" s="8"/>
      <c r="D36" s="8"/>
      <c r="E36" s="26"/>
      <c r="F36" s="38"/>
      <c r="H36" s="27"/>
    </row>
    <row r="37" spans="1:11">
      <c r="A37" s="8"/>
      <c r="B37" s="8"/>
      <c r="C37" s="8"/>
      <c r="D37" s="8"/>
      <c r="E37" s="26"/>
      <c r="F37" s="38"/>
      <c r="H37" s="27"/>
    </row>
    <row r="38" spans="1:11">
      <c r="A38" s="8"/>
      <c r="B38" s="8"/>
      <c r="C38" s="8"/>
      <c r="D38" s="8"/>
      <c r="E38" s="26"/>
      <c r="F38" s="38"/>
      <c r="G38" s="39"/>
      <c r="H38" s="27"/>
      <c r="J38" s="27"/>
    </row>
    <row r="39" spans="1:11">
      <c r="A39" s="8"/>
      <c r="B39" s="8"/>
      <c r="C39" s="8"/>
      <c r="D39" s="8"/>
      <c r="E39" s="26"/>
      <c r="F39" s="38"/>
      <c r="H39" s="27"/>
    </row>
    <row r="40" spans="1:11">
      <c r="A40" s="8"/>
      <c r="B40" s="8"/>
      <c r="C40" s="8"/>
      <c r="D40" s="8"/>
      <c r="E40" s="26"/>
      <c r="F40" s="38"/>
      <c r="H40" s="27"/>
    </row>
    <row r="41" spans="1:11">
      <c r="A41" s="8"/>
      <c r="B41" s="8"/>
      <c r="C41" s="8"/>
      <c r="D41" s="8"/>
      <c r="E41" s="26"/>
      <c r="F41" s="38"/>
      <c r="H41" s="27"/>
    </row>
    <row r="42" spans="1:11">
      <c r="A42" s="8"/>
      <c r="B42" s="8"/>
      <c r="C42" s="8"/>
      <c r="D42" s="8"/>
      <c r="E42" s="26"/>
      <c r="F42" s="38"/>
      <c r="H42" s="27"/>
    </row>
    <row r="43" spans="1:11">
      <c r="A43" s="8"/>
      <c r="B43" s="8"/>
      <c r="C43" s="8"/>
      <c r="D43" s="8"/>
      <c r="E43" s="26"/>
      <c r="F43" s="38"/>
      <c r="H43" s="27"/>
    </row>
    <row r="44" spans="1:11">
      <c r="A44" s="8"/>
      <c r="B44" s="8"/>
      <c r="C44" s="8"/>
      <c r="D44" s="8"/>
      <c r="E44" s="26"/>
      <c r="F44" s="38"/>
      <c r="H44" s="27"/>
    </row>
    <row r="45" spans="1:11">
      <c r="A45" s="8"/>
      <c r="B45" s="8"/>
      <c r="C45" s="8"/>
      <c r="D45" s="8"/>
      <c r="E45" s="26"/>
      <c r="F45" s="38"/>
      <c r="H45" s="27"/>
    </row>
    <row r="46" spans="1:11">
      <c r="A46" s="8"/>
      <c r="B46" s="8"/>
      <c r="C46" s="8"/>
      <c r="D46" s="8"/>
      <c r="E46" s="26"/>
      <c r="F46" s="38"/>
      <c r="H46" s="27"/>
    </row>
    <row r="47" spans="1:11">
      <c r="A47" s="8"/>
      <c r="B47" s="8"/>
      <c r="C47" s="8"/>
      <c r="D47" s="8"/>
      <c r="E47" s="26"/>
      <c r="F47" s="38"/>
      <c r="G47" s="39"/>
      <c r="H47" s="27"/>
      <c r="I47" s="27"/>
      <c r="J47" s="27"/>
      <c r="K47" s="27"/>
    </row>
    <row r="48" spans="1:11">
      <c r="A48" s="8"/>
      <c r="B48" s="8"/>
      <c r="C48" s="8"/>
      <c r="D48" s="8"/>
      <c r="E48" s="26"/>
      <c r="F48" s="38"/>
      <c r="G48" s="39"/>
      <c r="H48" s="27"/>
      <c r="I48" s="27"/>
      <c r="J48" s="27"/>
      <c r="K48" s="27"/>
    </row>
    <row r="49" spans="1:11">
      <c r="A49" s="8"/>
      <c r="B49" s="8"/>
      <c r="C49" s="8"/>
      <c r="D49" s="8"/>
      <c r="E49" s="26"/>
      <c r="F49" s="38"/>
      <c r="G49" s="39"/>
      <c r="H49" s="27"/>
      <c r="I49" s="27"/>
      <c r="J49" s="27"/>
      <c r="K49" s="27"/>
    </row>
    <row r="50" spans="1:11">
      <c r="A50" s="8"/>
      <c r="B50" s="8"/>
      <c r="C50" s="8"/>
      <c r="D50" s="8"/>
      <c r="E50" s="26"/>
      <c r="F50" s="38"/>
      <c r="G50" s="39"/>
      <c r="H50" s="27"/>
      <c r="I50" s="27"/>
      <c r="J50" s="27"/>
      <c r="K50" s="27"/>
    </row>
    <row r="51" spans="1:11">
      <c r="A51" s="8"/>
      <c r="B51" s="8"/>
      <c r="C51" s="8"/>
      <c r="D51" s="8"/>
      <c r="E51" s="26"/>
      <c r="F51" s="38"/>
      <c r="G51" s="39"/>
      <c r="H51" s="27"/>
      <c r="I51" s="27"/>
      <c r="J51" s="27"/>
      <c r="K51" s="27"/>
    </row>
    <row r="52" spans="1:11">
      <c r="A52" s="8"/>
      <c r="B52" s="8"/>
      <c r="C52" s="8"/>
      <c r="D52" s="8"/>
      <c r="E52" s="26"/>
      <c r="F52" s="38"/>
      <c r="G52" s="39"/>
      <c r="H52" s="27"/>
      <c r="I52" s="27"/>
      <c r="J52" s="27"/>
      <c r="K52" s="27"/>
    </row>
    <row r="53" spans="1:11">
      <c r="A53" s="8"/>
      <c r="B53" s="8"/>
      <c r="C53" s="8"/>
      <c r="D53" s="8"/>
      <c r="E53" s="26"/>
      <c r="F53" s="38"/>
      <c r="G53" s="39"/>
      <c r="H53" s="27"/>
      <c r="I53" s="27"/>
      <c r="J53" s="27"/>
      <c r="K53" s="27"/>
    </row>
    <row r="54" spans="1:11">
      <c r="A54" s="8"/>
      <c r="B54" s="8"/>
      <c r="C54" s="8"/>
      <c r="D54" s="8"/>
      <c r="E54" s="26"/>
      <c r="F54" s="38"/>
      <c r="G54" s="39"/>
      <c r="H54" s="27"/>
      <c r="I54" s="27"/>
      <c r="J54" s="27"/>
      <c r="K54" s="27"/>
    </row>
    <row r="55" spans="1:11">
      <c r="A55" s="8"/>
      <c r="B55" s="8"/>
      <c r="C55" s="8"/>
      <c r="D55" s="8"/>
      <c r="E55" s="26"/>
      <c r="F55" s="38"/>
      <c r="G55" s="39"/>
      <c r="H55" s="27"/>
      <c r="I55" s="27"/>
      <c r="J55" s="27"/>
      <c r="K55" s="27"/>
    </row>
    <row r="56" spans="1:11">
      <c r="A56" s="8"/>
      <c r="B56" s="8"/>
      <c r="C56" s="8"/>
      <c r="D56" s="8"/>
      <c r="E56" s="26"/>
      <c r="F56" s="38"/>
      <c r="G56" s="39"/>
      <c r="H56" s="27"/>
      <c r="I56" s="27"/>
      <c r="J56" s="27"/>
      <c r="K56" s="27"/>
    </row>
    <row r="57" spans="1:11">
      <c r="A57" s="8"/>
      <c r="B57" s="8"/>
      <c r="C57" s="8"/>
      <c r="D57" s="8"/>
      <c r="E57" s="26"/>
      <c r="F57" s="38"/>
      <c r="G57" s="39"/>
      <c r="H57" s="27"/>
      <c r="I57" s="27"/>
      <c r="J57" s="27"/>
      <c r="K57" s="27"/>
    </row>
    <row r="58" spans="1:11">
      <c r="A58" s="8"/>
      <c r="B58" s="8"/>
      <c r="C58" s="8"/>
      <c r="D58" s="8"/>
      <c r="E58" s="26"/>
      <c r="F58" s="38"/>
      <c r="G58" s="39"/>
      <c r="H58" s="27"/>
      <c r="I58" s="27"/>
      <c r="J58" s="27"/>
      <c r="K58" s="27"/>
    </row>
    <row r="59" spans="1:11">
      <c r="A59" s="8"/>
      <c r="B59" s="8"/>
      <c r="C59" s="8"/>
      <c r="D59" s="8"/>
      <c r="E59" s="26"/>
      <c r="F59" s="38"/>
      <c r="G59" s="39"/>
      <c r="H59" s="27"/>
      <c r="I59" s="27"/>
      <c r="J59" s="27"/>
      <c r="K59" s="27"/>
    </row>
  </sheetData>
  <pageMargins left="0.4" right="0.4" top="0.5" bottom="0.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TradeCalc">
    <tabColor rgb="FF2E75B6"/>
    <pageSetUpPr fitToPage="1"/>
  </sheetPr>
  <dimension ref="A1:Y6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style="8" customWidth="1"/>
    <col min="2" max="2" width="13.7109375" style="8" customWidth="1"/>
    <col min="3" max="3" width="8.7109375" style="8" customWidth="1"/>
    <col min="4" max="4" width="10.7109375" style="8" customWidth="1"/>
    <col min="5" max="5" width="30.7109375" style="8" customWidth="1"/>
    <col min="6" max="6" width="22.7109375" style="8" customWidth="1"/>
    <col min="7" max="7" width="9.7109375" style="38" customWidth="1"/>
    <col min="8" max="8" width="15.7109375" style="27" customWidth="1"/>
    <col min="9" max="9" width="13.7109375" style="27" customWidth="1"/>
    <col min="10" max="10" width="8.7109375" style="28" customWidth="1"/>
    <col min="11" max="11" width="8.7109375" style="28" customWidth="1"/>
    <col min="12" max="12" width="8.7109375" style="28" customWidth="1"/>
    <col min="13" max="13" width="8.7109375" style="28" customWidth="1"/>
    <col min="14" max="14" width="10.7109375" style="28" customWidth="1"/>
    <col min="15" max="15" width="15.7109375" style="27" customWidth="1"/>
    <col min="16" max="16" width="10.7109375" style="28" customWidth="1"/>
    <col min="17" max="17" width="9.7109375" style="28" customWidth="1"/>
    <col min="18" max="18" width="9.7109375" style="28" customWidth="1"/>
    <col min="19" max="19" width="15.7109375" style="27" customWidth="1"/>
    <col min="20" max="20" width="15.7109375" style="27" customWidth="1"/>
    <col min="21" max="21" width="7.7109375" style="26" customWidth="1"/>
    <col min="22" max="22" width="13.7109375" style="27" customWidth="1"/>
    <col min="23" max="23" width="10.7109375" style="40" customWidth="1"/>
    <col min="24" max="24" width="8.7109375" style="8" customWidth="1"/>
    <col min="25" max="25" width="70.7109375" style="8" customWidth="1"/>
  </cols>
  <sheetData>
    <row r="1" spans="1:25" ht="34" customHeight="1">
      <c r="A1" s="1" t="s">
        <v>553</v>
      </c>
    </row>
    <row r="2" spans="1:25">
      <c r="A2" s="2" t="s">
        <v>554</v>
      </c>
    </row>
    <row r="4" spans="1:25" ht="42" customHeight="1">
      <c r="A4" s="31" t="s">
        <v>309</v>
      </c>
      <c r="B4" s="31" t="s">
        <v>259</v>
      </c>
      <c r="C4" s="31" t="s">
        <v>177</v>
      </c>
      <c r="D4" s="31" t="s">
        <v>555</v>
      </c>
      <c r="E4" s="31" t="s">
        <v>513</v>
      </c>
      <c r="F4" s="31" t="s">
        <v>542</v>
      </c>
      <c r="G4" s="31" t="s">
        <v>556</v>
      </c>
      <c r="H4" s="31" t="s">
        <v>557</v>
      </c>
      <c r="I4" s="31" t="s">
        <v>558</v>
      </c>
      <c r="J4" s="31" t="s">
        <v>559</v>
      </c>
      <c r="K4" s="31" t="s">
        <v>560</v>
      </c>
      <c r="L4" s="31" t="s">
        <v>561</v>
      </c>
      <c r="M4" s="31" t="s">
        <v>562</v>
      </c>
      <c r="N4" s="31" t="s">
        <v>80</v>
      </c>
      <c r="O4" s="31" t="s">
        <v>563</v>
      </c>
      <c r="P4" s="31" t="s">
        <v>564</v>
      </c>
      <c r="Q4" s="31" t="s">
        <v>565</v>
      </c>
      <c r="R4" s="31" t="s">
        <v>566</v>
      </c>
      <c r="S4" s="31" t="s">
        <v>544</v>
      </c>
      <c r="T4" s="31" t="s">
        <v>545</v>
      </c>
      <c r="U4" s="31" t="s">
        <v>567</v>
      </c>
      <c r="V4" s="31" t="s">
        <v>568</v>
      </c>
      <c r="W4" s="31" t="s">
        <v>569</v>
      </c>
      <c r="X4" s="31" t="s">
        <v>165</v>
      </c>
      <c r="Y4" s="31" t="s">
        <v>570</v>
      </c>
    </row>
    <row r="5" spans="1:25">
      <c r="A5" s="8"/>
      <c r="B5" s="8"/>
      <c r="C5" s="8"/>
      <c r="D5" s="8"/>
      <c r="E5" s="8"/>
      <c r="F5" s="8"/>
      <c r="G5" s="38"/>
      <c r="H5" s="27"/>
      <c r="I5" s="27"/>
      <c r="J5" s="28"/>
      <c r="K5" s="28"/>
      <c r="L5" s="28"/>
      <c r="N5" s="28"/>
      <c r="O5" s="27"/>
      <c r="P5" s="28"/>
      <c r="Q5" s="28"/>
      <c r="S5" s="27"/>
      <c r="U5" s="26"/>
      <c r="V5" s="27"/>
      <c r="X5" s="8"/>
    </row>
    <row r="6" spans="1:25">
      <c r="A6" s="8"/>
      <c r="B6" s="8"/>
      <c r="C6" s="8"/>
      <c r="D6" s="8"/>
      <c r="E6" s="8"/>
      <c r="F6" s="8"/>
      <c r="G6" s="38"/>
      <c r="H6" s="27"/>
      <c r="I6" s="27"/>
      <c r="J6" s="28"/>
      <c r="K6" s="28"/>
      <c r="L6" s="28"/>
      <c r="N6" s="28"/>
      <c r="O6" s="27"/>
      <c r="P6" s="28"/>
      <c r="Q6" s="28"/>
      <c r="S6" s="27"/>
      <c r="U6" s="26"/>
      <c r="V6" s="27"/>
      <c r="X6" s="8"/>
    </row>
    <row r="7" spans="1:25">
      <c r="A7" s="8"/>
      <c r="B7" s="8"/>
      <c r="C7" s="8"/>
      <c r="D7" s="8"/>
      <c r="E7" s="8"/>
      <c r="F7" s="8"/>
      <c r="G7" s="38"/>
      <c r="H7" s="27"/>
      <c r="I7" s="27"/>
      <c r="J7" s="28"/>
      <c r="K7" s="28"/>
      <c r="L7" s="28"/>
      <c r="M7" s="28"/>
      <c r="N7" s="28"/>
      <c r="O7" s="27"/>
      <c r="P7" s="28"/>
      <c r="Q7" s="28"/>
      <c r="S7" s="27"/>
      <c r="U7" s="26"/>
      <c r="V7" s="27"/>
      <c r="W7" s="40"/>
      <c r="X7" s="8"/>
    </row>
    <row r="8" spans="1:25">
      <c r="A8" s="8"/>
      <c r="B8" s="8"/>
      <c r="C8" s="8"/>
      <c r="D8" s="8"/>
      <c r="E8" s="8"/>
      <c r="F8" s="8"/>
      <c r="G8" s="38"/>
      <c r="H8" s="27"/>
      <c r="I8" s="27"/>
      <c r="J8" s="28"/>
      <c r="K8" s="28"/>
      <c r="L8" s="28"/>
      <c r="N8" s="28"/>
      <c r="O8" s="27"/>
      <c r="P8" s="28"/>
      <c r="Q8" s="28"/>
      <c r="S8" s="27"/>
      <c r="V8" s="27"/>
      <c r="X8" s="8"/>
    </row>
    <row r="9" spans="1:25">
      <c r="A9" s="8"/>
      <c r="B9" s="8"/>
      <c r="C9" s="8"/>
      <c r="D9" s="8"/>
      <c r="E9" s="8"/>
      <c r="F9" s="8"/>
      <c r="G9" s="38"/>
      <c r="H9" s="27"/>
      <c r="I9" s="27"/>
      <c r="J9" s="28"/>
      <c r="K9" s="28"/>
      <c r="L9" s="28"/>
      <c r="N9" s="28"/>
      <c r="O9" s="27"/>
      <c r="P9" s="28"/>
      <c r="Q9" s="28"/>
      <c r="S9" s="27"/>
      <c r="V9" s="27"/>
      <c r="X9" s="8"/>
    </row>
    <row r="10" spans="1:25">
      <c r="A10" s="8"/>
      <c r="B10" s="8"/>
      <c r="C10" s="8"/>
      <c r="D10" s="8"/>
      <c r="E10" s="8"/>
      <c r="F10" s="8"/>
      <c r="G10" s="38"/>
      <c r="H10" s="27"/>
      <c r="I10" s="27"/>
      <c r="J10" s="28"/>
      <c r="K10" s="28"/>
      <c r="L10" s="28"/>
      <c r="N10" s="28"/>
      <c r="O10" s="27"/>
      <c r="P10" s="28"/>
      <c r="Q10" s="28"/>
      <c r="S10" s="27"/>
      <c r="V10" s="27"/>
      <c r="X10" s="8"/>
    </row>
    <row r="11" spans="1:25">
      <c r="A11" s="8"/>
      <c r="B11" s="8"/>
      <c r="C11" s="8"/>
      <c r="D11" s="8"/>
      <c r="E11" s="8"/>
      <c r="F11" s="8"/>
      <c r="G11" s="38"/>
      <c r="H11" s="27"/>
      <c r="I11" s="27"/>
      <c r="J11" s="28"/>
      <c r="K11" s="28"/>
      <c r="L11" s="28"/>
      <c r="O11" s="27"/>
      <c r="P11" s="28"/>
      <c r="Q11" s="28"/>
      <c r="S11" s="27"/>
      <c r="V11" s="27"/>
      <c r="X11" s="8"/>
    </row>
    <row r="12" spans="1:25">
      <c r="A12" s="8"/>
      <c r="B12" s="8"/>
      <c r="C12" s="8"/>
      <c r="D12" s="8"/>
      <c r="E12" s="8"/>
      <c r="F12" s="8"/>
      <c r="G12" s="38"/>
      <c r="H12" s="27"/>
      <c r="I12" s="27"/>
      <c r="J12" s="28"/>
      <c r="K12" s="28"/>
      <c r="L12" s="28"/>
      <c r="O12" s="27"/>
      <c r="P12" s="28"/>
      <c r="Q12" s="28"/>
      <c r="S12" s="27"/>
      <c r="V12" s="27"/>
      <c r="X12" s="8"/>
    </row>
    <row r="13" spans="1:25">
      <c r="A13" s="8"/>
      <c r="B13" s="8"/>
      <c r="C13" s="8"/>
      <c r="D13" s="8"/>
      <c r="E13" s="8"/>
      <c r="F13" s="8"/>
      <c r="G13" s="38"/>
      <c r="H13" s="27"/>
      <c r="I13" s="27"/>
      <c r="J13" s="28"/>
      <c r="K13" s="28"/>
      <c r="L13" s="28"/>
      <c r="O13" s="27"/>
      <c r="P13" s="28"/>
      <c r="Q13" s="28"/>
      <c r="S13" s="27"/>
      <c r="V13" s="27"/>
      <c r="X13" s="8"/>
    </row>
    <row r="14" spans="1:25">
      <c r="A14" s="8"/>
      <c r="B14" s="8"/>
      <c r="C14" s="8"/>
      <c r="D14" s="8"/>
      <c r="E14" s="8"/>
      <c r="F14" s="8"/>
      <c r="G14" s="38"/>
      <c r="H14" s="27"/>
      <c r="I14" s="27"/>
      <c r="J14" s="28"/>
      <c r="K14" s="28"/>
      <c r="L14" s="28"/>
      <c r="N14" s="28"/>
      <c r="O14" s="27"/>
      <c r="P14" s="28"/>
      <c r="Q14" s="28"/>
      <c r="S14" s="27"/>
      <c r="U14" s="26"/>
      <c r="V14" s="27"/>
      <c r="X14" s="8"/>
    </row>
    <row r="15" spans="1:25">
      <c r="A15" s="8"/>
      <c r="B15" s="8"/>
      <c r="C15" s="8"/>
      <c r="D15" s="8"/>
      <c r="E15" s="8"/>
      <c r="F15" s="8"/>
      <c r="G15" s="38"/>
      <c r="H15" s="27"/>
      <c r="I15" s="27"/>
      <c r="J15" s="28"/>
      <c r="K15" s="28"/>
      <c r="L15" s="28"/>
      <c r="N15" s="28"/>
      <c r="O15" s="27"/>
      <c r="P15" s="28"/>
      <c r="Q15" s="28"/>
      <c r="S15" s="27"/>
      <c r="U15" s="26"/>
      <c r="V15" s="27"/>
      <c r="X15" s="8"/>
    </row>
    <row r="16" spans="1:25">
      <c r="A16" s="8"/>
      <c r="B16" s="8"/>
      <c r="C16" s="8"/>
      <c r="D16" s="8"/>
      <c r="E16" s="8"/>
      <c r="F16" s="8"/>
      <c r="G16" s="38"/>
      <c r="H16" s="27"/>
      <c r="I16" s="27"/>
      <c r="J16" s="28"/>
      <c r="K16" s="28"/>
      <c r="L16" s="28"/>
      <c r="M16" s="28"/>
      <c r="N16" s="28"/>
      <c r="O16" s="27"/>
      <c r="P16" s="28"/>
      <c r="Q16" s="28"/>
      <c r="S16" s="27"/>
      <c r="U16" s="26"/>
      <c r="V16" s="27"/>
      <c r="W16" s="40"/>
      <c r="X16" s="8"/>
    </row>
    <row r="17" spans="1:24">
      <c r="A17" s="8"/>
      <c r="B17" s="8"/>
      <c r="C17" s="8"/>
      <c r="D17" s="8"/>
      <c r="E17" s="8"/>
      <c r="F17" s="8"/>
      <c r="G17" s="38"/>
      <c r="H17" s="27"/>
      <c r="I17" s="27"/>
      <c r="J17" s="28"/>
      <c r="K17" s="28"/>
      <c r="L17" s="28"/>
      <c r="N17" s="28"/>
      <c r="O17" s="27"/>
      <c r="P17" s="28"/>
      <c r="Q17" s="28"/>
      <c r="S17" s="27"/>
      <c r="V17" s="27"/>
      <c r="X17" s="8"/>
    </row>
    <row r="18" spans="1:24">
      <c r="A18" s="8"/>
      <c r="B18" s="8"/>
      <c r="C18" s="8"/>
      <c r="D18" s="8"/>
      <c r="E18" s="8"/>
      <c r="F18" s="8"/>
      <c r="G18" s="38"/>
      <c r="H18" s="27"/>
      <c r="I18" s="27"/>
      <c r="J18" s="28"/>
      <c r="K18" s="28"/>
      <c r="L18" s="28"/>
      <c r="N18" s="28"/>
      <c r="O18" s="27"/>
      <c r="P18" s="28"/>
      <c r="Q18" s="28"/>
      <c r="S18" s="27"/>
      <c r="V18" s="27"/>
      <c r="X18" s="8"/>
    </row>
    <row r="19" spans="1:24">
      <c r="A19" s="8"/>
      <c r="B19" s="8"/>
      <c r="C19" s="8"/>
      <c r="D19" s="8"/>
      <c r="E19" s="8"/>
      <c r="F19" s="8"/>
      <c r="G19" s="38"/>
      <c r="H19" s="27"/>
      <c r="I19" s="27"/>
      <c r="J19" s="28"/>
      <c r="K19" s="28"/>
      <c r="L19" s="28"/>
      <c r="N19" s="28"/>
      <c r="O19" s="27"/>
      <c r="P19" s="28"/>
      <c r="Q19" s="28"/>
      <c r="S19" s="27"/>
      <c r="V19" s="27"/>
      <c r="X19" s="8"/>
    </row>
    <row r="20" spans="1:24">
      <c r="A20" s="8"/>
      <c r="B20" s="8"/>
      <c r="C20" s="8"/>
      <c r="D20" s="8"/>
      <c r="E20" s="8"/>
      <c r="F20" s="8"/>
      <c r="G20" s="38"/>
      <c r="H20" s="27"/>
      <c r="I20" s="27"/>
      <c r="J20" s="28"/>
      <c r="K20" s="28"/>
      <c r="L20" s="28"/>
      <c r="N20" s="28"/>
      <c r="O20" s="27"/>
      <c r="P20" s="28"/>
      <c r="Q20" s="28"/>
      <c r="R20" s="28"/>
      <c r="S20" s="27"/>
      <c r="T20" s="27"/>
      <c r="U20" s="26"/>
      <c r="V20" s="27"/>
      <c r="X20" s="8"/>
    </row>
    <row r="21" spans="1:24">
      <c r="A21" s="8"/>
      <c r="B21" s="8"/>
      <c r="C21" s="8"/>
      <c r="D21" s="8"/>
      <c r="E21" s="8"/>
      <c r="F21" s="8"/>
      <c r="G21" s="38"/>
      <c r="H21" s="27"/>
      <c r="I21" s="27"/>
      <c r="J21" s="28"/>
      <c r="K21" s="28"/>
      <c r="L21" s="28"/>
      <c r="N21" s="28"/>
      <c r="O21" s="27"/>
      <c r="P21" s="28"/>
      <c r="Q21" s="28"/>
      <c r="R21" s="28"/>
      <c r="S21" s="27"/>
      <c r="T21" s="27"/>
      <c r="U21" s="26"/>
      <c r="V21" s="27"/>
      <c r="X21" s="8"/>
    </row>
    <row r="22" spans="1:24">
      <c r="A22" s="8"/>
      <c r="B22" s="8"/>
      <c r="C22" s="8"/>
      <c r="D22" s="8"/>
      <c r="E22" s="8"/>
      <c r="F22" s="8"/>
      <c r="G22" s="38"/>
      <c r="H22" s="27"/>
      <c r="I22" s="27"/>
      <c r="J22" s="28"/>
      <c r="K22" s="28"/>
      <c r="L22" s="28"/>
      <c r="M22" s="28"/>
      <c r="N22" s="28"/>
      <c r="O22" s="27"/>
      <c r="P22" s="28"/>
      <c r="Q22" s="28"/>
      <c r="R22" s="28"/>
      <c r="S22" s="27"/>
      <c r="T22" s="27"/>
      <c r="U22" s="26"/>
      <c r="V22" s="27"/>
      <c r="W22" s="40"/>
      <c r="X22" s="8"/>
    </row>
    <row r="23" spans="1:24">
      <c r="A23" s="8"/>
      <c r="B23" s="8"/>
      <c r="C23" s="8"/>
      <c r="D23" s="8"/>
      <c r="E23" s="8"/>
      <c r="F23" s="8"/>
      <c r="G23" s="38"/>
      <c r="H23" s="27"/>
      <c r="I23" s="27"/>
      <c r="J23" s="28"/>
      <c r="K23" s="28"/>
      <c r="L23" s="28"/>
      <c r="O23" s="27"/>
      <c r="P23" s="28"/>
      <c r="Q23" s="28"/>
      <c r="R23" s="28"/>
      <c r="S23" s="27"/>
      <c r="T23" s="27"/>
      <c r="V23" s="27"/>
      <c r="X23" s="8"/>
    </row>
    <row r="24" spans="1:24">
      <c r="A24" s="8"/>
      <c r="B24" s="8"/>
      <c r="C24" s="8"/>
      <c r="D24" s="8"/>
      <c r="E24" s="8"/>
      <c r="F24" s="8"/>
      <c r="G24" s="38"/>
      <c r="H24" s="27"/>
      <c r="I24" s="27"/>
      <c r="J24" s="28"/>
      <c r="K24" s="28"/>
      <c r="L24" s="28"/>
      <c r="O24" s="27"/>
      <c r="P24" s="28"/>
      <c r="Q24" s="28"/>
      <c r="R24" s="28"/>
      <c r="S24" s="27"/>
      <c r="T24" s="27"/>
      <c r="V24" s="27"/>
      <c r="X24" s="8"/>
    </row>
    <row r="25" spans="1:24">
      <c r="A25" s="8"/>
      <c r="B25" s="8"/>
      <c r="C25" s="8"/>
      <c r="D25" s="8"/>
      <c r="E25" s="8"/>
      <c r="F25" s="8"/>
      <c r="G25" s="38"/>
      <c r="H25" s="27"/>
      <c r="I25" s="27"/>
      <c r="J25" s="28"/>
      <c r="K25" s="28"/>
      <c r="L25" s="28"/>
      <c r="O25" s="27"/>
      <c r="P25" s="28"/>
      <c r="Q25" s="28"/>
      <c r="R25" s="28"/>
      <c r="S25" s="27"/>
      <c r="T25" s="27"/>
      <c r="V25" s="27"/>
      <c r="X25" s="8"/>
    </row>
    <row r="26" spans="1:24">
      <c r="A26" s="8"/>
      <c r="B26" s="8"/>
      <c r="C26" s="8"/>
      <c r="D26" s="8"/>
      <c r="E26" s="8"/>
      <c r="F26" s="8"/>
      <c r="G26" s="38"/>
      <c r="H26" s="27"/>
      <c r="I26" s="27"/>
      <c r="J26" s="28"/>
      <c r="K26" s="28"/>
      <c r="L26" s="28"/>
      <c r="N26" s="28"/>
      <c r="O26" s="27"/>
      <c r="P26" s="28"/>
      <c r="Q26" s="28"/>
      <c r="R26" s="28"/>
      <c r="S26" s="27"/>
      <c r="T26" s="27"/>
      <c r="U26" s="26"/>
      <c r="V26" s="27"/>
      <c r="X26" s="8"/>
    </row>
    <row r="27" spans="1:24">
      <c r="A27" s="8"/>
      <c r="B27" s="8"/>
      <c r="C27" s="8"/>
      <c r="D27" s="8"/>
      <c r="E27" s="8"/>
      <c r="F27" s="8"/>
      <c r="G27" s="38"/>
      <c r="H27" s="27"/>
      <c r="I27" s="27"/>
      <c r="J27" s="28"/>
      <c r="K27" s="28"/>
      <c r="L27" s="28"/>
      <c r="N27" s="28"/>
      <c r="O27" s="27"/>
      <c r="P27" s="28"/>
      <c r="Q27" s="28"/>
      <c r="R27" s="28"/>
      <c r="S27" s="27"/>
      <c r="T27" s="27"/>
      <c r="U27" s="26"/>
      <c r="V27" s="27"/>
      <c r="X27" s="8"/>
    </row>
    <row r="28" spans="1:24">
      <c r="A28" s="8"/>
      <c r="B28" s="8"/>
      <c r="C28" s="8"/>
      <c r="D28" s="8"/>
      <c r="E28" s="8"/>
      <c r="F28" s="8"/>
      <c r="G28" s="38"/>
      <c r="H28" s="27"/>
      <c r="I28" s="27"/>
      <c r="J28" s="28"/>
      <c r="K28" s="28"/>
      <c r="L28" s="28"/>
      <c r="M28" s="28"/>
      <c r="N28" s="28"/>
      <c r="O28" s="27"/>
      <c r="P28" s="28"/>
      <c r="Q28" s="28"/>
      <c r="R28" s="28"/>
      <c r="S28" s="27"/>
      <c r="T28" s="27"/>
      <c r="U28" s="26"/>
      <c r="V28" s="27"/>
      <c r="W28" s="40"/>
      <c r="X28" s="8"/>
    </row>
    <row r="29" spans="1:24">
      <c r="A29" s="8"/>
      <c r="B29" s="8"/>
      <c r="C29" s="8"/>
      <c r="D29" s="8"/>
      <c r="E29" s="8"/>
      <c r="F29" s="8"/>
      <c r="G29" s="38"/>
      <c r="H29" s="27"/>
      <c r="I29" s="27"/>
      <c r="J29" s="28"/>
      <c r="K29" s="28"/>
      <c r="L29" s="28"/>
      <c r="O29" s="27"/>
      <c r="P29" s="28"/>
      <c r="Q29" s="28"/>
      <c r="R29" s="28"/>
      <c r="S29" s="27"/>
      <c r="T29" s="27"/>
      <c r="V29" s="27"/>
      <c r="X29" s="8"/>
    </row>
    <row r="30" spans="1:24">
      <c r="A30" s="8"/>
      <c r="B30" s="8"/>
      <c r="C30" s="8"/>
      <c r="D30" s="8"/>
      <c r="E30" s="8"/>
      <c r="F30" s="8"/>
      <c r="G30" s="38"/>
      <c r="H30" s="27"/>
      <c r="I30" s="27"/>
      <c r="J30" s="28"/>
      <c r="K30" s="28"/>
      <c r="L30" s="28"/>
      <c r="O30" s="27"/>
      <c r="P30" s="28"/>
      <c r="Q30" s="28"/>
      <c r="R30" s="28"/>
      <c r="S30" s="27"/>
      <c r="T30" s="27"/>
      <c r="V30" s="27"/>
      <c r="X30" s="8"/>
    </row>
    <row r="31" spans="1:24">
      <c r="A31" s="8"/>
      <c r="B31" s="8"/>
      <c r="C31" s="8"/>
      <c r="D31" s="8"/>
      <c r="E31" s="8"/>
      <c r="F31" s="8"/>
      <c r="G31" s="38"/>
      <c r="H31" s="27"/>
      <c r="I31" s="27"/>
      <c r="J31" s="28"/>
      <c r="K31" s="28"/>
      <c r="L31" s="28"/>
      <c r="O31" s="27"/>
      <c r="P31" s="28"/>
      <c r="Q31" s="28"/>
      <c r="R31" s="28"/>
      <c r="S31" s="27"/>
      <c r="T31" s="27"/>
      <c r="V31" s="27"/>
      <c r="X31" s="8"/>
    </row>
    <row r="32" spans="1:24">
      <c r="A32" s="8"/>
      <c r="B32" s="8"/>
      <c r="C32" s="8"/>
      <c r="D32" s="8"/>
      <c r="E32" s="8"/>
      <c r="F32" s="8"/>
      <c r="G32" s="38"/>
      <c r="H32" s="27"/>
      <c r="I32" s="27"/>
      <c r="J32" s="28"/>
      <c r="K32" s="28"/>
      <c r="L32" s="28"/>
      <c r="N32" s="28"/>
      <c r="O32" s="27"/>
      <c r="P32" s="28"/>
      <c r="Q32" s="28"/>
      <c r="S32" s="27"/>
      <c r="U32" s="26"/>
      <c r="V32" s="27"/>
      <c r="X32" s="8"/>
    </row>
    <row r="33" spans="1:25">
      <c r="A33" s="8"/>
      <c r="B33" s="8"/>
      <c r="C33" s="8"/>
      <c r="D33" s="8"/>
      <c r="E33" s="8"/>
      <c r="F33" s="8"/>
      <c r="G33" s="38"/>
      <c r="H33" s="27"/>
      <c r="I33" s="27"/>
      <c r="J33" s="28"/>
      <c r="K33" s="28"/>
      <c r="L33" s="28"/>
      <c r="N33" s="28"/>
      <c r="O33" s="27"/>
      <c r="P33" s="28"/>
      <c r="Q33" s="28"/>
      <c r="S33" s="27"/>
      <c r="U33" s="26"/>
      <c r="V33" s="27"/>
      <c r="X33" s="8"/>
    </row>
    <row r="34" spans="1:25">
      <c r="A34" s="8"/>
      <c r="B34" s="8"/>
      <c r="C34" s="8"/>
      <c r="D34" s="8"/>
      <c r="E34" s="8"/>
      <c r="F34" s="8"/>
      <c r="G34" s="38"/>
      <c r="H34" s="27"/>
      <c r="I34" s="27"/>
      <c r="J34" s="28"/>
      <c r="K34" s="28"/>
      <c r="L34" s="28"/>
      <c r="M34" s="28"/>
      <c r="N34" s="28"/>
      <c r="O34" s="27"/>
      <c r="P34" s="28"/>
      <c r="Q34" s="28"/>
      <c r="S34" s="27"/>
      <c r="U34" s="26"/>
      <c r="V34" s="27"/>
      <c r="W34" s="40"/>
      <c r="X34" s="8"/>
    </row>
    <row r="35" spans="1:25">
      <c r="A35" s="8"/>
      <c r="B35" s="8"/>
      <c r="C35" s="8"/>
      <c r="D35" s="8"/>
      <c r="E35" s="8"/>
      <c r="F35" s="8"/>
      <c r="G35" s="38"/>
      <c r="H35" s="27"/>
      <c r="I35" s="27"/>
      <c r="J35" s="28"/>
      <c r="K35" s="28"/>
      <c r="L35" s="28"/>
      <c r="N35" s="28"/>
      <c r="O35" s="27"/>
      <c r="P35" s="28"/>
      <c r="Q35" s="28"/>
      <c r="R35" s="28"/>
      <c r="S35" s="27"/>
      <c r="T35" s="27"/>
      <c r="U35" s="26"/>
      <c r="V35" s="27"/>
      <c r="X35" s="8"/>
    </row>
    <row r="36" spans="1:25">
      <c r="A36" s="8"/>
      <c r="B36" s="8"/>
      <c r="C36" s="8"/>
      <c r="D36" s="8"/>
      <c r="E36" s="8"/>
      <c r="F36" s="8"/>
      <c r="G36" s="38"/>
      <c r="H36" s="27"/>
      <c r="I36" s="27"/>
      <c r="J36" s="28"/>
      <c r="K36" s="28"/>
      <c r="L36" s="28"/>
      <c r="N36" s="28"/>
      <c r="O36" s="27"/>
      <c r="P36" s="28"/>
      <c r="Q36" s="28"/>
      <c r="R36" s="28"/>
      <c r="S36" s="27"/>
      <c r="T36" s="27"/>
      <c r="U36" s="26"/>
      <c r="V36" s="27"/>
      <c r="X36" s="8"/>
    </row>
    <row r="37" spans="1:25">
      <c r="A37" s="8"/>
      <c r="B37" s="8"/>
      <c r="C37" s="8"/>
      <c r="D37" s="8"/>
      <c r="E37" s="8"/>
      <c r="F37" s="8"/>
      <c r="G37" s="38"/>
      <c r="H37" s="27"/>
      <c r="I37" s="27"/>
      <c r="J37" s="28"/>
      <c r="K37" s="28"/>
      <c r="L37" s="28"/>
      <c r="M37" s="28"/>
      <c r="N37" s="28"/>
      <c r="O37" s="27"/>
      <c r="P37" s="28"/>
      <c r="Q37" s="28"/>
      <c r="S37" s="27"/>
      <c r="U37" s="26"/>
      <c r="V37" s="27"/>
      <c r="W37" s="40"/>
      <c r="X37" s="8"/>
    </row>
    <row r="38" spans="1:25">
      <c r="A38" s="8"/>
      <c r="B38" s="8"/>
      <c r="C38" s="8"/>
      <c r="D38" s="8"/>
      <c r="X38" s="8"/>
      <c r="Y38" s="8"/>
    </row>
    <row r="39" spans="1:25">
      <c r="A39" s="8"/>
      <c r="B39" s="8"/>
      <c r="C39" s="8"/>
      <c r="D39" s="8"/>
      <c r="E39" s="8"/>
      <c r="F39" s="8"/>
      <c r="G39" s="38"/>
      <c r="H39" s="27"/>
      <c r="I39" s="27"/>
      <c r="J39" s="28"/>
      <c r="K39" s="28"/>
      <c r="L39" s="28"/>
      <c r="M39" s="28"/>
      <c r="O39" s="27"/>
      <c r="P39" s="28"/>
      <c r="Q39" s="28"/>
      <c r="S39" s="27"/>
      <c r="V39" s="27"/>
      <c r="W39" s="40"/>
      <c r="X39" s="8"/>
    </row>
    <row r="40" spans="1:25">
      <c r="A40" s="8"/>
      <c r="B40" s="8"/>
      <c r="C40" s="8"/>
      <c r="D40" s="8"/>
      <c r="E40" s="8"/>
      <c r="F40" s="8"/>
      <c r="G40" s="38"/>
      <c r="H40" s="27"/>
      <c r="I40" s="27"/>
      <c r="J40" s="28"/>
      <c r="K40" s="28"/>
      <c r="L40" s="28"/>
      <c r="O40" s="27"/>
      <c r="P40" s="28"/>
      <c r="Q40" s="28"/>
      <c r="S40" s="27"/>
      <c r="V40" s="27"/>
      <c r="X40" s="8"/>
    </row>
    <row r="41" spans="1:25">
      <c r="A41" s="8"/>
      <c r="B41" s="8"/>
      <c r="C41" s="8"/>
      <c r="D41" s="8"/>
      <c r="E41" s="8"/>
      <c r="F41" s="8"/>
      <c r="G41" s="38"/>
      <c r="H41" s="27"/>
      <c r="I41" s="27"/>
      <c r="J41" s="28"/>
      <c r="K41" s="28"/>
      <c r="L41" s="28"/>
      <c r="O41" s="27"/>
      <c r="P41" s="28"/>
      <c r="Q41" s="28"/>
      <c r="S41" s="27"/>
      <c r="V41" s="27"/>
      <c r="X41" s="8"/>
    </row>
    <row r="42" spans="1:25">
      <c r="A42" s="8"/>
      <c r="B42" s="8"/>
      <c r="C42" s="8"/>
      <c r="D42" s="8"/>
      <c r="E42" s="8"/>
      <c r="F42" s="8"/>
      <c r="G42" s="38"/>
      <c r="H42" s="27"/>
      <c r="I42" s="27"/>
      <c r="J42" s="28"/>
      <c r="K42" s="28"/>
      <c r="L42" s="28"/>
      <c r="O42" s="27"/>
      <c r="P42" s="28"/>
      <c r="Q42" s="28"/>
      <c r="S42" s="27"/>
      <c r="V42" s="27"/>
      <c r="X42" s="8"/>
    </row>
    <row r="43" spans="1:25">
      <c r="A43" s="8"/>
      <c r="B43" s="8"/>
      <c r="C43" s="8"/>
      <c r="D43" s="8"/>
      <c r="X43" s="8"/>
      <c r="Y43" s="8"/>
    </row>
    <row r="44" spans="1:25">
      <c r="A44" s="8"/>
      <c r="B44" s="8"/>
      <c r="C44" s="8"/>
      <c r="D44" s="8"/>
      <c r="E44" s="8"/>
      <c r="F44" s="8"/>
      <c r="G44" s="38"/>
      <c r="H44" s="27"/>
      <c r="I44" s="27"/>
      <c r="J44" s="28"/>
      <c r="K44" s="28"/>
      <c r="L44" s="28"/>
      <c r="O44" s="27"/>
      <c r="P44" s="28"/>
      <c r="Q44" s="28"/>
      <c r="S44" s="27"/>
      <c r="V44" s="27"/>
      <c r="X44" s="8"/>
    </row>
    <row r="45" spans="1:25">
      <c r="A45" s="8"/>
      <c r="B45" s="8"/>
      <c r="C45" s="8"/>
      <c r="D45" s="8"/>
      <c r="E45" s="8"/>
      <c r="F45" s="8"/>
      <c r="G45" s="38"/>
      <c r="H45" s="27"/>
      <c r="I45" s="27"/>
      <c r="J45" s="28"/>
      <c r="K45" s="28"/>
      <c r="L45" s="28"/>
      <c r="N45" s="28"/>
      <c r="O45" s="27"/>
      <c r="P45" s="28"/>
      <c r="Q45" s="28"/>
      <c r="S45" s="27"/>
      <c r="U45" s="26"/>
      <c r="V45" s="27"/>
      <c r="X45" s="8"/>
    </row>
    <row r="46" spans="1:25">
      <c r="A46" s="8"/>
      <c r="B46" s="8"/>
      <c r="C46" s="8"/>
      <c r="D46" s="8"/>
      <c r="E46" s="8"/>
      <c r="F46" s="8"/>
      <c r="G46" s="38"/>
      <c r="H46" s="27"/>
      <c r="I46" s="27"/>
      <c r="J46" s="28"/>
      <c r="K46" s="28"/>
      <c r="L46" s="28"/>
      <c r="N46" s="28"/>
      <c r="O46" s="27"/>
      <c r="P46" s="28"/>
      <c r="Q46" s="28"/>
      <c r="S46" s="27"/>
      <c r="U46" s="26"/>
      <c r="V46" s="27"/>
      <c r="X46" s="8"/>
    </row>
    <row r="47" spans="1:25">
      <c r="A47" s="8"/>
      <c r="B47" s="8"/>
      <c r="C47" s="8"/>
      <c r="D47" s="8"/>
      <c r="E47" s="8"/>
      <c r="F47" s="8"/>
      <c r="G47" s="38"/>
      <c r="H47" s="27"/>
      <c r="I47" s="27"/>
      <c r="J47" s="28"/>
      <c r="K47" s="28"/>
      <c r="L47" s="28"/>
      <c r="N47" s="28"/>
      <c r="O47" s="27"/>
      <c r="P47" s="28"/>
      <c r="Q47" s="28"/>
      <c r="S47" s="27"/>
      <c r="U47" s="26"/>
      <c r="V47" s="27"/>
      <c r="X47" s="8"/>
    </row>
    <row r="48" spans="1:25">
      <c r="A48" s="8"/>
      <c r="B48" s="8"/>
      <c r="C48" s="8"/>
      <c r="D48" s="8"/>
      <c r="E48" s="8"/>
      <c r="F48" s="8"/>
      <c r="G48" s="38"/>
      <c r="H48" s="27"/>
      <c r="I48" s="27"/>
      <c r="J48" s="28"/>
      <c r="K48" s="28"/>
      <c r="L48" s="28"/>
      <c r="N48" s="28"/>
      <c r="O48" s="27"/>
      <c r="P48" s="28"/>
      <c r="Q48" s="28"/>
      <c r="S48" s="27"/>
      <c r="U48" s="26"/>
      <c r="V48" s="27"/>
      <c r="X48" s="8"/>
    </row>
    <row r="49" spans="1:25">
      <c r="A49" s="8"/>
      <c r="B49" s="8"/>
      <c r="C49" s="8"/>
      <c r="D49" s="8"/>
      <c r="E49" s="8"/>
      <c r="F49" s="8"/>
      <c r="G49" s="38"/>
      <c r="H49" s="27"/>
      <c r="I49" s="27"/>
      <c r="J49" s="28"/>
      <c r="K49" s="28"/>
      <c r="L49" s="28"/>
      <c r="M49" s="28"/>
      <c r="N49" s="28"/>
      <c r="O49" s="27"/>
      <c r="P49" s="28"/>
      <c r="Q49" s="28"/>
      <c r="S49" s="27"/>
      <c r="U49" s="26"/>
      <c r="V49" s="27"/>
      <c r="W49" s="40"/>
      <c r="X49" s="8"/>
    </row>
    <row r="50" spans="1:25">
      <c r="A50" s="8"/>
      <c r="B50" s="8"/>
      <c r="C50" s="8"/>
      <c r="D50" s="8"/>
      <c r="E50" s="8"/>
      <c r="F50" s="8"/>
      <c r="G50" s="38"/>
      <c r="H50" s="27"/>
      <c r="I50" s="27"/>
      <c r="J50" s="28"/>
      <c r="K50" s="28"/>
      <c r="L50" s="28"/>
      <c r="N50" s="28"/>
      <c r="O50" s="27"/>
      <c r="P50" s="28"/>
      <c r="Q50" s="28"/>
      <c r="S50" s="27"/>
      <c r="U50" s="26"/>
      <c r="V50" s="27"/>
      <c r="X50" s="8"/>
    </row>
    <row r="51" spans="1:25">
      <c r="A51" s="8"/>
      <c r="B51" s="8"/>
      <c r="C51" s="8"/>
      <c r="D51" s="8"/>
      <c r="E51" s="8"/>
      <c r="F51" s="8"/>
      <c r="G51" s="38"/>
      <c r="H51" s="27"/>
      <c r="I51" s="27"/>
      <c r="J51" s="28"/>
      <c r="K51" s="28"/>
      <c r="L51" s="28"/>
      <c r="O51" s="27"/>
      <c r="P51" s="28"/>
      <c r="Q51" s="28"/>
      <c r="S51" s="27"/>
      <c r="V51" s="27"/>
      <c r="X51" s="8"/>
    </row>
    <row r="52" spans="1:25">
      <c r="A52" s="8"/>
      <c r="B52" s="8"/>
      <c r="C52" s="8"/>
      <c r="D52" s="8"/>
      <c r="E52" s="8"/>
      <c r="F52" s="8"/>
      <c r="G52" s="38"/>
      <c r="H52" s="27"/>
      <c r="I52" s="27"/>
      <c r="J52" s="28"/>
      <c r="K52" s="28"/>
      <c r="L52" s="28"/>
      <c r="M52" s="28"/>
      <c r="O52" s="27"/>
      <c r="P52" s="28"/>
      <c r="Q52" s="28"/>
      <c r="S52" s="27"/>
      <c r="V52" s="27"/>
      <c r="W52" s="40"/>
      <c r="X52" s="8"/>
    </row>
    <row r="53" spans="1:25">
      <c r="A53" s="8"/>
      <c r="B53" s="8"/>
      <c r="C53" s="8"/>
      <c r="D53" s="8"/>
      <c r="E53" s="8"/>
      <c r="F53" s="8"/>
      <c r="G53" s="38"/>
      <c r="H53" s="27"/>
      <c r="I53" s="27"/>
      <c r="J53" s="28"/>
      <c r="K53" s="28"/>
      <c r="L53" s="28"/>
      <c r="O53" s="27"/>
      <c r="P53" s="28"/>
      <c r="Q53" s="28"/>
      <c r="S53" s="27"/>
      <c r="V53" s="27"/>
      <c r="X53" s="8"/>
    </row>
    <row r="54" spans="1:25">
      <c r="A54" s="8"/>
      <c r="B54" s="8"/>
      <c r="C54" s="8"/>
      <c r="D54" s="8"/>
      <c r="E54" s="8"/>
      <c r="F54" s="8"/>
      <c r="G54" s="38"/>
      <c r="H54" s="27"/>
      <c r="I54" s="27"/>
      <c r="J54" s="28"/>
      <c r="K54" s="28"/>
      <c r="L54" s="28"/>
      <c r="N54" s="28"/>
      <c r="O54" s="27"/>
      <c r="P54" s="28"/>
      <c r="Q54" s="28"/>
      <c r="S54" s="27"/>
      <c r="U54" s="26"/>
      <c r="V54" s="27"/>
      <c r="X54" s="8"/>
    </row>
    <row r="55" spans="1:25">
      <c r="A55" s="8"/>
      <c r="B55" s="8"/>
      <c r="C55" s="8"/>
      <c r="D55" s="8"/>
      <c r="X55" s="8"/>
      <c r="Y55" s="8"/>
    </row>
    <row r="56" spans="1:25">
      <c r="A56" s="8"/>
      <c r="B56" s="8"/>
      <c r="C56" s="8"/>
      <c r="D56" s="8"/>
      <c r="E56" s="8"/>
      <c r="F56" s="8"/>
      <c r="G56" s="38"/>
      <c r="H56" s="27"/>
      <c r="I56" s="27"/>
      <c r="J56" s="28"/>
      <c r="K56" s="28"/>
      <c r="L56" s="28"/>
      <c r="N56" s="28"/>
      <c r="O56" s="27"/>
      <c r="P56" s="28"/>
      <c r="Q56" s="28"/>
      <c r="R56" s="28"/>
      <c r="S56" s="27"/>
      <c r="T56" s="27"/>
      <c r="V56" s="27"/>
      <c r="X56" s="8"/>
    </row>
    <row r="57" spans="1:25">
      <c r="A57" s="8"/>
      <c r="B57" s="8"/>
      <c r="C57" s="8"/>
      <c r="D57" s="8"/>
      <c r="E57" s="8"/>
      <c r="F57" s="8"/>
      <c r="G57" s="38"/>
      <c r="H57" s="27"/>
      <c r="I57" s="27"/>
      <c r="J57" s="28"/>
      <c r="K57" s="28"/>
      <c r="L57" s="28"/>
      <c r="N57" s="28"/>
      <c r="O57" s="27"/>
      <c r="P57" s="28"/>
      <c r="Q57" s="28"/>
      <c r="R57" s="28"/>
      <c r="S57" s="27"/>
      <c r="T57" s="27"/>
      <c r="V57" s="27"/>
      <c r="X57" s="8"/>
    </row>
    <row r="58" spans="1:25">
      <c r="A58" s="8"/>
      <c r="B58" s="8"/>
      <c r="C58" s="8"/>
      <c r="D58" s="8"/>
      <c r="E58" s="8"/>
      <c r="F58" s="8"/>
      <c r="G58" s="38"/>
      <c r="H58" s="27"/>
      <c r="I58" s="27"/>
      <c r="J58" s="28"/>
      <c r="K58" s="28"/>
      <c r="L58" s="28"/>
      <c r="N58" s="28"/>
      <c r="O58" s="27"/>
      <c r="P58" s="28"/>
      <c r="Q58" s="28"/>
      <c r="R58" s="28"/>
      <c r="S58" s="27"/>
      <c r="T58" s="27"/>
      <c r="V58" s="27"/>
      <c r="X58" s="8"/>
    </row>
    <row r="59" spans="1:25">
      <c r="A59" s="8"/>
      <c r="B59" s="8"/>
      <c r="C59" s="8"/>
      <c r="D59" s="8"/>
      <c r="E59" s="8"/>
      <c r="F59" s="8"/>
      <c r="G59" s="38"/>
      <c r="H59" s="27"/>
      <c r="I59" s="27"/>
      <c r="J59" s="28"/>
      <c r="K59" s="28"/>
      <c r="L59" s="28"/>
      <c r="N59" s="28"/>
      <c r="O59" s="27"/>
      <c r="P59" s="28"/>
      <c r="Q59" s="28"/>
      <c r="R59" s="28"/>
      <c r="S59" s="27"/>
      <c r="T59" s="27"/>
      <c r="V59" s="27"/>
      <c r="X59" s="8"/>
    </row>
    <row r="60" spans="1:25">
      <c r="A60" s="8"/>
      <c r="B60" s="8"/>
      <c r="C60" s="8"/>
      <c r="D60" s="8"/>
      <c r="E60" s="8"/>
      <c r="F60" s="8"/>
      <c r="G60" s="38"/>
      <c r="H60" s="27"/>
      <c r="I60" s="27"/>
      <c r="J60" s="28"/>
      <c r="K60" s="28"/>
      <c r="L60" s="28"/>
      <c r="N60" s="28"/>
      <c r="O60" s="27"/>
      <c r="P60" s="28"/>
      <c r="Q60" s="28"/>
      <c r="R60" s="28"/>
      <c r="S60" s="27"/>
      <c r="T60" s="27"/>
      <c r="V60" s="27"/>
      <c r="X60" s="8"/>
    </row>
    <row r="61" spans="1:25">
      <c r="A61" s="8"/>
      <c r="B61" s="8"/>
      <c r="C61" s="8"/>
      <c r="D61" s="8"/>
      <c r="E61" s="8"/>
      <c r="F61" s="8"/>
      <c r="G61" s="38"/>
      <c r="H61" s="27"/>
      <c r="I61" s="27"/>
      <c r="J61" s="28"/>
      <c r="K61" s="28"/>
      <c r="L61" s="28"/>
      <c r="O61" s="27"/>
      <c r="P61" s="28"/>
      <c r="Q61" s="28"/>
      <c r="R61" s="28"/>
      <c r="S61" s="27"/>
      <c r="T61" s="27"/>
      <c r="V61" s="27"/>
      <c r="X61" s="8"/>
    </row>
    <row r="62" spans="1:25">
      <c r="A62" s="8"/>
      <c r="B62" s="8"/>
      <c r="C62" s="8"/>
      <c r="D62" s="8"/>
      <c r="E62" s="8"/>
      <c r="F62" s="8"/>
      <c r="G62" s="38"/>
      <c r="H62" s="27"/>
      <c r="I62" s="27"/>
      <c r="J62" s="28"/>
      <c r="K62" s="28"/>
      <c r="L62" s="28"/>
      <c r="M62" s="28"/>
      <c r="O62" s="27"/>
      <c r="P62" s="28"/>
      <c r="Q62" s="28"/>
      <c r="R62" s="28"/>
      <c r="S62" s="27"/>
      <c r="T62" s="27"/>
      <c r="V62" s="27"/>
      <c r="W62" s="40"/>
      <c r="X62" s="8"/>
    </row>
    <row r="63" spans="1:25">
      <c r="A63" s="8"/>
      <c r="B63" s="8"/>
      <c r="C63" s="8"/>
      <c r="D63" s="8"/>
      <c r="E63" s="8"/>
      <c r="F63" s="8"/>
      <c r="G63" s="38"/>
      <c r="H63" s="27"/>
      <c r="I63" s="27"/>
      <c r="J63" s="28"/>
      <c r="K63" s="28"/>
      <c r="L63" s="28"/>
      <c r="O63" s="27"/>
      <c r="P63" s="28"/>
      <c r="Q63" s="28"/>
      <c r="R63" s="28"/>
      <c r="S63" s="27"/>
      <c r="T63" s="27"/>
      <c r="V63" s="27"/>
      <c r="X63" s="8"/>
    </row>
    <row r="64" spans="1:25">
      <c r="A64" s="8"/>
      <c r="B64" s="8"/>
      <c r="C64" s="8"/>
      <c r="D64" s="8"/>
      <c r="E64" s="8"/>
      <c r="F64" s="8"/>
      <c r="G64" s="38"/>
      <c r="H64" s="27"/>
      <c r="I64" s="27"/>
      <c r="J64" s="28"/>
      <c r="K64" s="28"/>
      <c r="L64" s="28"/>
      <c r="O64" s="27"/>
      <c r="P64" s="28"/>
      <c r="Q64" s="28"/>
      <c r="R64" s="28"/>
      <c r="S64" s="27"/>
      <c r="T64" s="27"/>
      <c r="V64" s="27"/>
      <c r="X64" s="8"/>
    </row>
    <row r="65" spans="1:24">
      <c r="A65" s="8"/>
      <c r="B65" s="8"/>
      <c r="C65" s="8"/>
      <c r="D65" s="8"/>
      <c r="E65" s="8"/>
      <c r="F65" s="8"/>
      <c r="G65" s="38"/>
      <c r="H65" s="27"/>
      <c r="I65" s="27"/>
      <c r="J65" s="28"/>
      <c r="K65" s="28"/>
      <c r="L65" s="28"/>
      <c r="O65" s="27"/>
      <c r="P65" s="28"/>
      <c r="Q65" s="28"/>
      <c r="R65" s="28"/>
      <c r="S65" s="27"/>
      <c r="T65" s="27"/>
      <c r="V65" s="27"/>
      <c r="X65" s="8"/>
    </row>
    <row r="66" spans="1:24">
      <c r="A66" s="8"/>
      <c r="B66" s="8"/>
      <c r="C66" s="8"/>
      <c r="D66" s="8"/>
      <c r="E66" s="8"/>
      <c r="F66" s="8"/>
      <c r="G66" s="38"/>
      <c r="H66" s="27"/>
      <c r="I66" s="27"/>
      <c r="J66" s="28"/>
      <c r="K66" s="28"/>
      <c r="L66" s="28"/>
      <c r="O66" s="27"/>
      <c r="P66" s="28"/>
      <c r="Q66" s="28"/>
      <c r="R66" s="28"/>
      <c r="S66" s="27"/>
      <c r="T66" s="27"/>
      <c r="V66" s="27"/>
      <c r="X66" s="8"/>
    </row>
    <row r="67" spans="1:24">
      <c r="A67" s="8"/>
      <c r="B67" s="8"/>
      <c r="C67" s="8"/>
      <c r="D67" s="8"/>
      <c r="E67" s="8"/>
      <c r="F67" s="8"/>
      <c r="G67" s="38"/>
      <c r="H67" s="27"/>
      <c r="I67" s="27"/>
      <c r="J67" s="28"/>
      <c r="K67" s="28"/>
      <c r="L67" s="28"/>
      <c r="O67" s="27"/>
      <c r="P67" s="28"/>
      <c r="Q67" s="28"/>
      <c r="R67" s="28"/>
      <c r="S67" s="27"/>
      <c r="T67" s="27"/>
      <c r="V67" s="27"/>
      <c r="X67" s="8"/>
    </row>
    <row r="68" spans="1:24">
      <c r="A68" s="8"/>
      <c r="B68" s="8"/>
      <c r="C68" s="8"/>
      <c r="D68" s="8"/>
      <c r="E68" s="8"/>
      <c r="F68" s="8"/>
      <c r="G68" s="38"/>
      <c r="H68" s="27"/>
      <c r="I68" s="27"/>
      <c r="J68" s="28"/>
      <c r="K68" s="28"/>
      <c r="L68" s="28"/>
      <c r="O68" s="27"/>
      <c r="P68" s="28"/>
      <c r="Q68" s="28"/>
      <c r="R68" s="28"/>
      <c r="S68" s="27"/>
      <c r="T68" s="27"/>
      <c r="V68" s="27"/>
      <c r="X68" s="8"/>
    </row>
    <row r="69" spans="1:24">
      <c r="A69" s="8"/>
      <c r="B69" s="8"/>
      <c r="C69" s="8"/>
      <c r="D69" s="8"/>
      <c r="E69" s="8"/>
      <c r="F69" s="8"/>
      <c r="G69" s="38"/>
      <c r="H69" s="27"/>
      <c r="I69" s="27"/>
      <c r="J69" s="28"/>
      <c r="K69" s="28"/>
      <c r="L69" s="28"/>
      <c r="O69" s="27"/>
      <c r="P69" s="28"/>
      <c r="Q69" s="28"/>
      <c r="R69" s="28"/>
      <c r="S69" s="27"/>
      <c r="T69" s="27"/>
      <c r="V69" s="27"/>
      <c r="X69" s="8"/>
    </row>
  </sheetData>
  <pageMargins left="0.4" right="0.4" top="0.5" bottom="0.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Checks">
    <tabColor rgb="FF2E75B6"/>
    <pageSetUpPr fitToPage="1"/>
  </sheetPr>
  <dimension ref="A1:E8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style="8" customWidth="1"/>
    <col min="2" max="2" width="13.7109375" style="8" customWidth="1"/>
    <col min="3" max="3" width="6.7109375" style="26" customWidth="1"/>
    <col min="4" max="4" width="22.7109375" style="8" customWidth="1"/>
    <col min="5" max="5" width="110.7109375" style="8" customWidth="1"/>
  </cols>
  <sheetData>
    <row r="1" spans="1:5" ht="34" customHeight="1">
      <c r="A1" s="1" t="s">
        <v>70</v>
      </c>
    </row>
    <row r="2" spans="1:5">
      <c r="A2" s="2" t="s">
        <v>576</v>
      </c>
    </row>
    <row r="4" spans="1:5" ht="42" customHeight="1">
      <c r="A4" s="31" t="s">
        <v>577</v>
      </c>
      <c r="B4" s="31" t="s">
        <v>578</v>
      </c>
      <c r="C4" s="31" t="s">
        <v>579</v>
      </c>
      <c r="D4" s="31" t="s">
        <v>118</v>
      </c>
      <c r="E4" s="31" t="s">
        <v>580</v>
      </c>
    </row>
    <row r="5" spans="1:5">
      <c r="A5" s="8"/>
      <c r="B5" s="8"/>
      <c r="C5" s="26"/>
      <c r="D5" s="8"/>
      <c r="E5" s="8"/>
    </row>
    <row r="6" spans="1:5">
      <c r="A6" s="8"/>
      <c r="B6" s="8"/>
      <c r="C6" s="26"/>
      <c r="D6" s="8"/>
      <c r="E6" s="8"/>
    </row>
    <row r="7" spans="1:5">
      <c r="A7" s="8"/>
      <c r="B7" s="8"/>
      <c r="C7" s="26"/>
      <c r="D7" s="8"/>
      <c r="E7" s="8"/>
    </row>
    <row r="8" spans="1:5">
      <c r="A8" s="8"/>
      <c r="B8" s="8"/>
      <c r="D8" s="8"/>
      <c r="E8" s="8"/>
    </row>
  </sheetData>
  <pageMargins left="0.4" right="0.4" top="0.5" bottom="0.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TestCatalogue">
    <tabColor rgb="FF548235"/>
    <pageSetUpPr fitToPage="1"/>
  </sheetPr>
  <dimension ref="A1:P38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6.7109375" customWidth="1"/>
    <col min="3" max="3" width="46.7109375" customWidth="1"/>
    <col min="4" max="4" width="30.7109375" customWidth="1"/>
    <col min="5" max="5" width="26.7109375" customWidth="1"/>
    <col min="6" max="6" width="8.7109375" customWidth="1"/>
    <col min="7" max="7" width="10.7109375" customWidth="1"/>
    <col min="8" max="8" width="14.7109375" customWidth="1"/>
    <col min="9" max="9" width="20.7109375" customWidth="1"/>
    <col min="10" max="10" width="18.7109375" customWidth="1"/>
    <col min="11" max="12" width="9.7109375" customWidth="1"/>
    <col min="13" max="13" width="18.7109375" customWidth="1"/>
    <col min="14" max="14" width="10.7109375" customWidth="1"/>
    <col min="15" max="15" width="8.7109375" customWidth="1"/>
    <col min="16" max="16" width="50.7109375" customWidth="1"/>
  </cols>
  <sheetData>
    <row r="1" spans="1:16" ht="34" customHeight="1">
      <c r="A1" s="1" t="s">
        <v>639</v>
      </c>
    </row>
    <row r="2" spans="1:16">
      <c r="A2" s="2" t="s">
        <v>640</v>
      </c>
    </row>
    <row r="4" spans="1:16" ht="42" customHeight="1">
      <c r="A4" s="6" t="s">
        <v>589</v>
      </c>
      <c r="B4" s="6" t="s">
        <v>641</v>
      </c>
      <c r="C4" s="6" t="s">
        <v>116</v>
      </c>
      <c r="D4" s="6" t="s">
        <v>642</v>
      </c>
      <c r="E4" s="6" t="s">
        <v>643</v>
      </c>
      <c r="F4" s="6" t="s">
        <v>165</v>
      </c>
      <c r="G4" s="6" t="s">
        <v>578</v>
      </c>
      <c r="H4" s="6" t="s">
        <v>118</v>
      </c>
      <c r="I4" s="6" t="s">
        <v>644</v>
      </c>
      <c r="J4" s="6" t="s">
        <v>591</v>
      </c>
      <c r="K4" s="6" t="s">
        <v>645</v>
      </c>
      <c r="L4" s="6" t="s">
        <v>646</v>
      </c>
      <c r="M4" s="6" t="s">
        <v>647</v>
      </c>
      <c r="N4" s="6" t="s">
        <v>648</v>
      </c>
      <c r="O4" s="6" t="s">
        <v>594</v>
      </c>
      <c r="P4" s="6" t="s">
        <v>649</v>
      </c>
    </row>
    <row r="5" spans="1:16">
      <c r="A5" s="4" t="s">
        <v>650</v>
      </c>
      <c r="B5" s="5" t="s">
        <v>651</v>
      </c>
      <c r="C5" s="5" t="s">
        <v>652</v>
      </c>
      <c r="D5" s="5" t="s">
        <v>653</v>
      </c>
      <c r="E5" s="5" t="s">
        <v>654</v>
      </c>
      <c r="F5" s="5" t="s">
        <v>276</v>
      </c>
      <c r="G5" s="5" t="s">
        <v>68</v>
      </c>
      <c r="H5" s="5" t="s">
        <v>346</v>
      </c>
      <c r="I5" s="5" t="s">
        <v>563</v>
      </c>
      <c r="J5" s="41">
        <v>78694</v>
      </c>
      <c r="K5" s="5" t="s">
        <v>655</v>
      </c>
      <c r="L5" s="42">
        <v>0.5</v>
      </c>
      <c r="M5" s="43">
        <f>IFERROR(INDEX(TradeCalc!$A$5:$Y$3000,MATCH($H5,TradeCalc!$A$5:$A$3000,0),MATCH($I5,TradeCalc!$A$4:$Y$4,0)),"n/a")</f>
        <v>78693.86805747332</v>
      </c>
      <c r="N5" s="42">
        <f>IF(AND(ISNUMBER(M5),ISNUMBER(J5)),M5-J5,"")</f>
        <v>-0.13194252668472473</v>
      </c>
      <c r="O5" s="44" t="str">
        <f>IF(K5="text",IF(M5&amp;""=J5&amp;"","PASS","FAIL"),IF(NOT(ISNUMBER(M5)),"FAIL",IF(K5="rel",IF(ABS(N5)&lt;=L5*MAX(1,ABS(J5)),"PASS","FAIL"),IF(ABS(N5)&lt;=L5,"PASS","FAIL"))))</f>
        <v>PASS</v>
      </c>
      <c r="P5" s="5" t="s">
        <v>656</v>
      </c>
    </row>
    <row r="6" spans="1:16">
      <c r="A6" s="4" t="s">
        <v>657</v>
      </c>
      <c r="B6" s="5" t="s">
        <v>651</v>
      </c>
      <c r="C6" s="5" t="s">
        <v>658</v>
      </c>
      <c r="D6" s="5" t="s">
        <v>659</v>
      </c>
      <c r="E6" s="5" t="s">
        <v>654</v>
      </c>
      <c r="F6" s="5" t="s">
        <v>276</v>
      </c>
      <c r="G6" s="5" t="s">
        <v>68</v>
      </c>
      <c r="H6" s="5" t="s">
        <v>354</v>
      </c>
      <c r="I6" s="5" t="s">
        <v>564</v>
      </c>
      <c r="J6" s="41">
        <v>-0.27</v>
      </c>
      <c r="K6" s="5" t="s">
        <v>655</v>
      </c>
      <c r="L6" s="42">
        <v>0.005</v>
      </c>
      <c r="M6" s="43">
        <f>IFERROR(INDEX(TradeCalc!$A$5:$Y$3000,MATCH($H6,TradeCalc!$A$5:$A$3000,0),MATCH($I6,TradeCalc!$A$4:$Y$4,0)),"n/a")</f>
        <v>-0.2693952177105327</v>
      </c>
      <c r="N6" s="42">
        <f>IF(AND(ISNUMBER(M6),ISNUMBER(J6)),M6-J6,"")</f>
        <v>0.0006047822894673094</v>
      </c>
      <c r="O6" s="44" t="str">
        <f>IF(K6="text",IF(M6&amp;""=J6&amp;"","PASS","FAIL"),IF(NOT(ISNUMBER(M6)),"FAIL",IF(K6="rel",IF(ABS(N6)&lt;=L6*MAX(1,ABS(J6)),"PASS","FAIL"),IF(ABS(N6)&lt;=L6,"PASS","FAIL"))))</f>
        <v>PASS</v>
      </c>
      <c r="P6" s="5" t="s">
        <v>656</v>
      </c>
    </row>
    <row r="7" spans="1:16">
      <c r="A7" s="4" t="s">
        <v>660</v>
      </c>
      <c r="B7" s="5" t="s">
        <v>651</v>
      </c>
      <c r="C7" s="5" t="s">
        <v>661</v>
      </c>
      <c r="D7" s="5" t="s">
        <v>659</v>
      </c>
      <c r="E7" s="5" t="s">
        <v>654</v>
      </c>
      <c r="F7" s="5" t="s">
        <v>276</v>
      </c>
      <c r="G7" s="5" t="s">
        <v>62</v>
      </c>
      <c r="H7" s="5" t="s">
        <v>273</v>
      </c>
      <c r="I7" s="5" t="s">
        <v>494</v>
      </c>
      <c r="J7" s="41">
        <v>347</v>
      </c>
      <c r="K7" s="5" t="s">
        <v>655</v>
      </c>
      <c r="L7" s="42">
        <v>0.5</v>
      </c>
      <c r="M7" s="43">
        <f>IFERROR(INDEX(Results!$A$5:$AA$3000,MATCH($H7,Results!$A$5:$A$3000,0),MATCH($I7,Results!$A$4:$AA$4,0)),"n/a")</f>
        <v>346.7643863838184</v>
      </c>
      <c r="N7" s="42">
        <f>IF(AND(ISNUMBER(M7),ISNUMBER(J7)),M7-J7,"")</f>
        <v>-0.23561361618158116</v>
      </c>
      <c r="O7" s="44" t="str">
        <f>IF(K7="text",IF(M7&amp;""=J7&amp;"","PASS","FAIL"),IF(NOT(ISNUMBER(M7)),"FAIL",IF(K7="rel",IF(ABS(N7)&lt;=L7*MAX(1,ABS(J7)),"PASS","FAIL"),IF(ABS(N7)&lt;=L7,"PASS","FAIL"))))</f>
        <v>PASS</v>
      </c>
      <c r="P7" s="5" t="s">
        <v>656</v>
      </c>
    </row>
    <row r="8" spans="1:16">
      <c r="A8" s="4" t="s">
        <v>662</v>
      </c>
      <c r="B8" s="5" t="s">
        <v>651</v>
      </c>
      <c r="C8" s="5" t="s">
        <v>663</v>
      </c>
      <c r="D8" s="5" t="s">
        <v>659</v>
      </c>
      <c r="E8" s="5" t="s">
        <v>654</v>
      </c>
      <c r="F8" s="5" t="s">
        <v>276</v>
      </c>
      <c r="G8" s="5" t="s">
        <v>62</v>
      </c>
      <c r="H8" s="5" t="s">
        <v>273</v>
      </c>
      <c r="I8" s="5" t="s">
        <v>33</v>
      </c>
      <c r="J8" s="41">
        <v>569</v>
      </c>
      <c r="K8" s="5" t="s">
        <v>655</v>
      </c>
      <c r="L8" s="42">
        <v>0.5</v>
      </c>
      <c r="M8" s="43">
        <f>IFERROR(INDEX(Results!$A$5:$AA$3000,MATCH($H8,Results!$A$5:$A$3000,0),MATCH($I8,Results!$A$4:$AA$4,0)),"n/a")</f>
        <v>569.4701409373457</v>
      </c>
      <c r="N8" s="42">
        <f>IF(AND(ISNUMBER(M8),ISNUMBER(J8)),M8-J8,"")</f>
        <v>0.47014093734571816</v>
      </c>
      <c r="O8" s="44" t="str">
        <f>IF(K8="text",IF(M8&amp;""=J8&amp;"","PASS","FAIL"),IF(NOT(ISNUMBER(M8)),"FAIL",IF(K8="rel",IF(ABS(N8)&lt;=L8*MAX(1,ABS(J8)),"PASS","FAIL"),IF(ABS(N8)&lt;=L8,"PASS","FAIL"))))</f>
        <v>PASS</v>
      </c>
      <c r="P8" s="5" t="s">
        <v>656</v>
      </c>
    </row>
    <row r="9" spans="1:16">
      <c r="A9" s="4" t="s">
        <v>664</v>
      </c>
      <c r="B9" s="5" t="s">
        <v>665</v>
      </c>
      <c r="C9" s="5" t="s">
        <v>666</v>
      </c>
      <c r="D9" s="5" t="s">
        <v>667</v>
      </c>
      <c r="E9" s="5" t="s">
        <v>654</v>
      </c>
      <c r="F9" s="5" t="s">
        <v>276</v>
      </c>
      <c r="G9" s="5" t="s">
        <v>62</v>
      </c>
      <c r="H9" s="5" t="s">
        <v>277</v>
      </c>
      <c r="I9" s="5" t="s">
        <v>501</v>
      </c>
      <c r="J9" s="41">
        <v>0.965</v>
      </c>
      <c r="K9" s="5" t="s">
        <v>655</v>
      </c>
      <c r="L9" s="42">
        <v>0.0005</v>
      </c>
      <c r="M9" s="43">
        <f>IFERROR(INDEX(Results!$A$5:$AA$3000,MATCH($H9,Results!$A$5:$A$3000,0),MATCH($I9,Results!$A$4:$AA$4,0)),"n/a")</f>
        <v>0.965208280997999</v>
      </c>
      <c r="N9" s="42">
        <f>IF(AND(ISNUMBER(M9),ISNUMBER(J9)),M9-J9,"")</f>
        <v>0.0002082809979990774</v>
      </c>
      <c r="O9" s="44" t="str">
        <f>IF(K9="text",IF(M9&amp;""=J9&amp;"","PASS","FAIL"),IF(NOT(ISNUMBER(M9)),"FAIL",IF(K9="rel",IF(ABS(N9)&lt;=L9*MAX(1,ABS(J9)),"PASS","FAIL"),IF(ABS(N9)&lt;=L9,"PASS","FAIL"))))</f>
        <v>PASS</v>
      </c>
      <c r="P9" s="5" t="s">
        <v>656</v>
      </c>
    </row>
    <row r="10" spans="1:16">
      <c r="A10" s="4" t="s">
        <v>668</v>
      </c>
      <c r="B10" s="5" t="s">
        <v>665</v>
      </c>
      <c r="C10" s="5" t="s">
        <v>669</v>
      </c>
      <c r="D10" s="5" t="s">
        <v>667</v>
      </c>
      <c r="E10" s="5" t="s">
        <v>654</v>
      </c>
      <c r="F10" s="5" t="s">
        <v>276</v>
      </c>
      <c r="G10" s="5" t="s">
        <v>62</v>
      </c>
      <c r="H10" s="5" t="s">
        <v>277</v>
      </c>
      <c r="I10" s="5" t="s">
        <v>33</v>
      </c>
      <c r="J10" s="41">
        <v>381</v>
      </c>
      <c r="K10" s="5" t="s">
        <v>655</v>
      </c>
      <c r="L10" s="42">
        <v>0.5</v>
      </c>
      <c r="M10" s="43">
        <f>IFERROR(INDEX(Results!$A$5:$AA$3000,MATCH($H10,Results!$A$5:$A$3000,0),MATCH($I10,Results!$A$4:$AA$4,0)),"n/a")</f>
        <v>381.2383187469392</v>
      </c>
      <c r="N10" s="42">
        <f>IF(AND(ISNUMBER(M10),ISNUMBER(J10)),M10-J10,"")</f>
        <v>0.23831874693922828</v>
      </c>
      <c r="O10" s="44" t="str">
        <f>IF(K10="text",IF(M10&amp;""=J10&amp;"","PASS","FAIL"),IF(NOT(ISNUMBER(M10)),"FAIL",IF(K10="rel",IF(ABS(N10)&lt;=L10*MAX(1,ABS(J10)),"PASS","FAIL"),IF(ABS(N10)&lt;=L10,"PASS","FAIL"))))</f>
        <v>PASS</v>
      </c>
      <c r="P10" s="5" t="s">
        <v>656</v>
      </c>
    </row>
    <row r="11" spans="1:16">
      <c r="A11" s="4" t="s">
        <v>670</v>
      </c>
      <c r="B11" s="5" t="s">
        <v>671</v>
      </c>
      <c r="C11" s="5" t="s">
        <v>672</v>
      </c>
      <c r="D11" s="5" t="s">
        <v>673</v>
      </c>
      <c r="E11" s="5" t="s">
        <v>654</v>
      </c>
      <c r="F11" s="5" t="s">
        <v>276</v>
      </c>
      <c r="G11" s="5" t="s">
        <v>62</v>
      </c>
      <c r="H11" s="5" t="s">
        <v>279</v>
      </c>
      <c r="I11" s="5" t="s">
        <v>33</v>
      </c>
      <c r="J11" s="41">
        <v>5406</v>
      </c>
      <c r="K11" s="5" t="s">
        <v>655</v>
      </c>
      <c r="L11" s="42">
        <v>2</v>
      </c>
      <c r="M11" s="43">
        <f>IFERROR(INDEX(Results!$A$5:$AA$3000,MATCH($H11,Results!$A$5:$A$3000,0),MATCH($I11,Results!$A$4:$AA$4,0)),"n/a")</f>
        <v>5404.619687493473</v>
      </c>
      <c r="N11" s="42">
        <f>IF(AND(ISNUMBER(M11),ISNUMBER(J11)),M11-J11,"")</f>
        <v>-1.3803125065269342</v>
      </c>
      <c r="O11" s="44" t="str">
        <f>IF(K11="text",IF(M11&amp;""=J11&amp;"","PASS","FAIL"),IF(NOT(ISNUMBER(M11)),"FAIL",IF(K11="rel",IF(ABS(N11)&lt;=L11*MAX(1,ABS(J11)),"PASS","FAIL"),IF(ABS(N11)&lt;=L11,"PASS","FAIL"))))</f>
        <v>PASS</v>
      </c>
      <c r="P11" s="5" t="s">
        <v>674</v>
      </c>
    </row>
    <row r="12" spans="1:16">
      <c r="A12" s="4" t="s">
        <v>675</v>
      </c>
      <c r="B12" s="5" t="s">
        <v>676</v>
      </c>
      <c r="C12" s="5" t="s">
        <v>677</v>
      </c>
      <c r="D12" s="5" t="s">
        <v>678</v>
      </c>
      <c r="E12" s="5" t="s">
        <v>654</v>
      </c>
      <c r="F12" s="5" t="s">
        <v>276</v>
      </c>
      <c r="G12" s="5" t="s">
        <v>62</v>
      </c>
      <c r="H12" s="5" t="s">
        <v>281</v>
      </c>
      <c r="I12" s="5" t="s">
        <v>35</v>
      </c>
      <c r="J12" s="41">
        <v>40</v>
      </c>
      <c r="K12" s="5" t="s">
        <v>655</v>
      </c>
      <c r="L12" s="42">
        <v>0.5</v>
      </c>
      <c r="M12" s="43">
        <f>IFERROR(INDEX(Results!$A$5:$AA$3000,MATCH($H12,Results!$A$5:$A$3000,0),MATCH($I12,Results!$A$4:$AA$4,0)),"n/a")</f>
        <v>40.0</v>
      </c>
      <c r="N12" s="42">
        <f>IF(AND(ISNUMBER(M12),ISNUMBER(J12)),M12-J12,"")</f>
        <v>0.0</v>
      </c>
      <c r="O12" s="44" t="str">
        <f>IF(K12="text",IF(M12&amp;""=J12&amp;"","PASS","FAIL"),IF(NOT(ISNUMBER(M12)),"FAIL",IF(K12="rel",IF(ABS(N12)&lt;=L12*MAX(1,ABS(J12)),"PASS","FAIL"),IF(ABS(N12)&lt;=L12,"PASS","FAIL"))))</f>
        <v>PASS</v>
      </c>
      <c r="P12" s="5" t="s">
        <v>656</v>
      </c>
    </row>
    <row r="13" spans="1:16">
      <c r="A13" s="4" t="s">
        <v>679</v>
      </c>
      <c r="B13" s="5" t="s">
        <v>676</v>
      </c>
      <c r="C13" s="5" t="s">
        <v>680</v>
      </c>
      <c r="D13" s="5" t="s">
        <v>678</v>
      </c>
      <c r="E13" s="5" t="s">
        <v>654</v>
      </c>
      <c r="F13" s="5" t="s">
        <v>276</v>
      </c>
      <c r="G13" s="5" t="s">
        <v>62</v>
      </c>
      <c r="H13" s="5" t="s">
        <v>281</v>
      </c>
      <c r="I13" s="5" t="s">
        <v>500</v>
      </c>
      <c r="J13" s="41">
        <v>629</v>
      </c>
      <c r="K13" s="5" t="s">
        <v>655</v>
      </c>
      <c r="L13" s="42">
        <v>0.5</v>
      </c>
      <c r="M13" s="43">
        <f>IFERROR(INDEX(Results!$A$5:$AA$3000,MATCH($H13,Results!$A$5:$A$3000,0),MATCH($I13,Results!$A$4:$AA$4,0)),"n/a")</f>
        <v>628.8932182434851</v>
      </c>
      <c r="N13" s="42">
        <f>IF(AND(ISNUMBER(M13),ISNUMBER(J13)),M13-J13,"")</f>
        <v>-0.10678175651491983</v>
      </c>
      <c r="O13" s="44" t="str">
        <f>IF(K13="text",IF(M13&amp;""=J13&amp;"","PASS","FAIL"),IF(NOT(ISNUMBER(M13)),"FAIL",IF(K13="rel",IF(ABS(N13)&lt;=L13*MAX(1,ABS(J13)),"PASS","FAIL"),IF(ABS(N13)&lt;=L13,"PASS","FAIL"))))</f>
        <v>PASS</v>
      </c>
      <c r="P13" s="5" t="s">
        <v>656</v>
      </c>
    </row>
    <row r="14" spans="1:16">
      <c r="A14" s="4" t="s">
        <v>681</v>
      </c>
      <c r="B14" s="5" t="s">
        <v>676</v>
      </c>
      <c r="C14" s="5" t="s">
        <v>682</v>
      </c>
      <c r="D14" s="5" t="s">
        <v>678</v>
      </c>
      <c r="E14" s="5" t="s">
        <v>654</v>
      </c>
      <c r="F14" s="5" t="s">
        <v>276</v>
      </c>
      <c r="G14" s="5" t="s">
        <v>62</v>
      </c>
      <c r="H14" s="5" t="s">
        <v>281</v>
      </c>
      <c r="I14" s="5" t="s">
        <v>33</v>
      </c>
      <c r="J14" s="41">
        <v>936</v>
      </c>
      <c r="K14" s="5" t="s">
        <v>655</v>
      </c>
      <c r="L14" s="42">
        <v>0.6</v>
      </c>
      <c r="M14" s="43">
        <f>IFERROR(INDEX(Results!$A$5:$AA$3000,MATCH($H14,Results!$A$5:$A$3000,0),MATCH($I14,Results!$A$4:$AA$4,0)),"n/a")</f>
        <v>936.450505540879</v>
      </c>
      <c r="N14" s="42">
        <f>IF(AND(ISNUMBER(M14),ISNUMBER(J14)),M14-J14,"")</f>
        <v>0.4505055408790213</v>
      </c>
      <c r="O14" s="44" t="str">
        <f>IF(K14="text",IF(M14&amp;""=J14&amp;"","PASS","FAIL"),IF(NOT(ISNUMBER(M14)),"FAIL",IF(K14="rel",IF(ABS(N14)&lt;=L14*MAX(1,ABS(J14)),"PASS","FAIL"),IF(ABS(N14)&lt;=L14,"PASS","FAIL"))))</f>
        <v>PASS</v>
      </c>
      <c r="P14" s="5" t="s">
        <v>683</v>
      </c>
    </row>
    <row r="15" spans="1:16">
      <c r="A15" s="4" t="s">
        <v>684</v>
      </c>
      <c r="B15" s="5" t="s">
        <v>685</v>
      </c>
      <c r="C15" s="5" t="s">
        <v>686</v>
      </c>
      <c r="D15" s="5" t="s">
        <v>687</v>
      </c>
      <c r="E15" s="5" t="s">
        <v>654</v>
      </c>
      <c r="F15" s="5" t="s">
        <v>276</v>
      </c>
      <c r="G15" s="5" t="s">
        <v>62</v>
      </c>
      <c r="H15" s="5" t="s">
        <v>283</v>
      </c>
      <c r="I15" s="5" t="s">
        <v>491</v>
      </c>
      <c r="J15" s="41">
        <v>14</v>
      </c>
      <c r="K15" s="5" t="s">
        <v>655</v>
      </c>
      <c r="L15" s="42">
        <v>0</v>
      </c>
      <c r="M15" s="43">
        <f>IFERROR(INDEX(Results!$A$5:$AA$3000,MATCH($H15,Results!$A$5:$A$3000,0),MATCH($I15,Results!$A$4:$AA$4,0)),"n/a")</f>
        <v>14</v>
      </c>
      <c r="N15" s="42">
        <f>IF(AND(ISNUMBER(M15),ISNUMBER(J15)),M15-J15,"")</f>
        <v>0</v>
      </c>
      <c r="O15" s="44" t="str">
        <f>IF(K15="text",IF(M15&amp;""=J15&amp;"","PASS","FAIL"),IF(NOT(ISNUMBER(M15)),"FAIL",IF(K15="rel",IF(ABS(N15)&lt;=L15*MAX(1,ABS(J15)),"PASS","FAIL"),IF(ABS(N15)&lt;=L15,"PASS","FAIL"))))</f>
        <v>PASS</v>
      </c>
      <c r="P15" s="5" t="s">
        <v>656</v>
      </c>
    </row>
    <row r="16" spans="1:16">
      <c r="A16" s="4" t="s">
        <v>688</v>
      </c>
      <c r="B16" s="5" t="s">
        <v>685</v>
      </c>
      <c r="C16" s="5" t="s">
        <v>689</v>
      </c>
      <c r="D16" s="5" t="s">
        <v>687</v>
      </c>
      <c r="E16" s="5" t="s">
        <v>654</v>
      </c>
      <c r="F16" s="5" t="s">
        <v>276</v>
      </c>
      <c r="G16" s="5" t="s">
        <v>62</v>
      </c>
      <c r="H16" s="5" t="s">
        <v>283</v>
      </c>
      <c r="I16" s="5" t="s">
        <v>500</v>
      </c>
      <c r="J16" s="41">
        <v>1401</v>
      </c>
      <c r="K16" s="5" t="s">
        <v>655</v>
      </c>
      <c r="L16" s="42">
        <v>0.5</v>
      </c>
      <c r="M16" s="43">
        <f>IFERROR(INDEX(Results!$A$5:$AA$3000,MATCH($H16,Results!$A$5:$A$3000,0),MATCH($I16,Results!$A$4:$AA$4,0)),"n/a")</f>
        <v>1400.9623796965723</v>
      </c>
      <c r="N16" s="42">
        <f>IF(AND(ISNUMBER(M16),ISNUMBER(J16)),M16-J16,"")</f>
        <v>-0.037620303427729596</v>
      </c>
      <c r="O16" s="44" t="str">
        <f>IF(K16="text",IF(M16&amp;""=J16&amp;"","PASS","FAIL"),IF(NOT(ISNUMBER(M16)),"FAIL",IF(K16="rel",IF(ABS(N16)&lt;=L16*MAX(1,ABS(J16)),"PASS","FAIL"),IF(ABS(N16)&lt;=L16,"PASS","FAIL"))))</f>
        <v>PASS</v>
      </c>
      <c r="P16" s="5" t="s">
        <v>656</v>
      </c>
    </row>
    <row r="17" spans="1:16">
      <c r="A17" s="4" t="s">
        <v>690</v>
      </c>
      <c r="B17" s="5" t="s">
        <v>685</v>
      </c>
      <c r="C17" s="5" t="s">
        <v>691</v>
      </c>
      <c r="D17" s="5" t="s">
        <v>687</v>
      </c>
      <c r="E17" s="5" t="s">
        <v>654</v>
      </c>
      <c r="F17" s="5" t="s">
        <v>276</v>
      </c>
      <c r="G17" s="5" t="s">
        <v>62</v>
      </c>
      <c r="H17" s="5" t="s">
        <v>283</v>
      </c>
      <c r="I17" s="5" t="s">
        <v>501</v>
      </c>
      <c r="J17" s="41">
        <v>0.958</v>
      </c>
      <c r="K17" s="5" t="s">
        <v>655</v>
      </c>
      <c r="L17" s="42">
        <v>0.0005</v>
      </c>
      <c r="M17" s="43">
        <f>IFERROR(INDEX(Results!$A$5:$AA$3000,MATCH($H17,Results!$A$5:$A$3000,0),MATCH($I17,Results!$A$4:$AA$4,0)),"n/a")</f>
        <v>0.958123327392663</v>
      </c>
      <c r="N17" s="42">
        <f>IF(AND(ISNUMBER(M17),ISNUMBER(J17)),M17-J17,"")</f>
        <v>0.00012332739266307513</v>
      </c>
      <c r="O17" s="44" t="str">
        <f>IF(K17="text",IF(M17&amp;""=J17&amp;"","PASS","FAIL"),IF(NOT(ISNUMBER(M17)),"FAIL",IF(K17="rel",IF(ABS(N17)&lt;=L17*MAX(1,ABS(J17)),"PASS","FAIL"),IF(ABS(N17)&lt;=L17,"PASS","FAIL"))))</f>
        <v>PASS</v>
      </c>
      <c r="P17" s="5" t="s">
        <v>656</v>
      </c>
    </row>
    <row r="18" spans="1:16">
      <c r="A18" s="4" t="s">
        <v>692</v>
      </c>
      <c r="B18" s="5" t="s">
        <v>685</v>
      </c>
      <c r="C18" s="5" t="s">
        <v>693</v>
      </c>
      <c r="D18" s="5" t="s">
        <v>687</v>
      </c>
      <c r="E18" s="5" t="s">
        <v>654</v>
      </c>
      <c r="F18" s="5" t="s">
        <v>276</v>
      </c>
      <c r="G18" s="5" t="s">
        <v>62</v>
      </c>
      <c r="H18" s="5" t="s">
        <v>283</v>
      </c>
      <c r="I18" s="5" t="s">
        <v>33</v>
      </c>
      <c r="J18" s="41">
        <v>1879</v>
      </c>
      <c r="K18" s="5" t="s">
        <v>655</v>
      </c>
      <c r="L18" s="42">
        <v>0.5</v>
      </c>
      <c r="M18" s="43">
        <f>IFERROR(INDEX(Results!$A$5:$AA$3000,MATCH($H18,Results!$A$5:$A$3000,0),MATCH($I18,Results!$A$4:$AA$4,0)),"n/a")</f>
        <v>1879.2126315015523</v>
      </c>
      <c r="N18" s="42">
        <f>IF(AND(ISNUMBER(M18),ISNUMBER(J18)),M18-J18,"")</f>
        <v>0.21263150155232324</v>
      </c>
      <c r="O18" s="44" t="str">
        <f>IF(K18="text",IF(M18&amp;""=J18&amp;"","PASS","FAIL"),IF(NOT(ISNUMBER(M18)),"FAIL",IF(K18="rel",IF(ABS(N18)&lt;=L18*MAX(1,ABS(J18)),"PASS","FAIL"),IF(ABS(N18)&lt;=L18,"PASS","FAIL"))))</f>
        <v>PASS</v>
      </c>
      <c r="P18" s="5" t="s">
        <v>656</v>
      </c>
    </row>
    <row r="19" spans="1:16">
      <c r="A19" s="4" t="s">
        <v>694</v>
      </c>
      <c r="B19" s="5" t="s">
        <v>695</v>
      </c>
      <c r="C19" s="5" t="s">
        <v>696</v>
      </c>
      <c r="D19" s="5" t="s">
        <v>697</v>
      </c>
      <c r="E19" s="5" t="s">
        <v>698</v>
      </c>
      <c r="F19" s="5" t="s">
        <v>167</v>
      </c>
      <c r="G19" s="5" t="s">
        <v>62</v>
      </c>
      <c r="H19" s="5" t="s">
        <v>286</v>
      </c>
      <c r="I19" s="5" t="s">
        <v>33</v>
      </c>
      <c r="J19" s="41">
        <v>1879</v>
      </c>
      <c r="K19" s="5" t="s">
        <v>655</v>
      </c>
      <c r="L19" s="42">
        <v>0.5</v>
      </c>
      <c r="M19" s="43">
        <f>IFERROR(INDEX(Results!$A$5:$AA$3000,MATCH($H19,Results!$A$5:$A$3000,0),MATCH($I19,Results!$A$4:$AA$4,0)),"n/a")</f>
        <v>1879.2126315015523</v>
      </c>
      <c r="N19" s="42">
        <f>IF(AND(ISNUMBER(M19),ISNUMBER(J19)),M19-J19,"")</f>
        <v>0.21263150155232324</v>
      </c>
      <c r="O19" s="44" t="str">
        <f>IF(K19="text",IF(M19&amp;""=J19&amp;"","PASS","FAIL"),IF(NOT(ISNUMBER(M19)),"FAIL",IF(K19="rel",IF(ABS(N19)&lt;=L19*MAX(1,ABS(J19)),"PASS","FAIL"),IF(ABS(N19)&lt;=L19,"PASS","FAIL"))))</f>
        <v>PASS</v>
      </c>
      <c r="P19" s="5" t="s">
        <v>699</v>
      </c>
    </row>
    <row r="20" spans="1:16">
      <c r="A20" s="4" t="s">
        <v>700</v>
      </c>
      <c r="B20" s="5" t="s">
        <v>695</v>
      </c>
      <c r="C20" s="5" t="s">
        <v>924</v>
      </c>
      <c r="D20" s="5" t="s">
        <v>925</v>
      </c>
      <c r="E20" s="5" t="s">
        <v>703</v>
      </c>
      <c r="F20" s="5" t="s">
        <v>276</v>
      </c>
      <c r="G20" s="5" t="s">
        <v>62</v>
      </c>
      <c r="H20" s="5" t="s">
        <v>288</v>
      </c>
      <c r="I20" s="5" t="s">
        <v>33</v>
      </c>
      <c r="J20" s="41">
        <v>40774849.34860364</v>
      </c>
      <c r="K20" s="5" t="s">
        <v>704</v>
      </c>
      <c r="L20" s="42">
        <v>1E-09</v>
      </c>
      <c r="M20" s="43">
        <f>IFERROR(INDEX(Results!$A$5:$AA$3000,MATCH($H20,Results!$A$5:$A$3000,0),MATCH($I20,Results!$A$4:$AA$4,0)),"n/a")</f>
        <v>40774849.348603636</v>
      </c>
      <c r="N20" s="42">
        <f>IF(AND(ISNUMBER(M20),ISNUMBER(J20)),M20-J20,"")</f>
        <v>0.0</v>
      </c>
      <c r="O20" s="44" t="str">
        <f>IF(K20="text",IF(M20&amp;""=J20&amp;"","PASS","FAIL"),IF(NOT(ISNUMBER(M20)),"FAIL",IF(K20="rel",IF(ABS(N20)&lt;=L20*MAX(1,ABS(J20)),"PASS","FAIL"),IF(ABS(N20)&lt;=L20,"PASS","FAIL"))))</f>
        <v>PASS</v>
      </c>
      <c r="P20" s="5" t="s">
        <v>926</v>
      </c>
    </row>
    <row r="21" spans="1:16">
      <c r="A21" s="4" t="s">
        <v>706</v>
      </c>
      <c r="B21" s="5" t="s">
        <v>695</v>
      </c>
      <c r="C21" s="5" t="s">
        <v>707</v>
      </c>
      <c r="D21" s="5" t="s">
        <v>708</v>
      </c>
      <c r="E21" s="5" t="s">
        <v>703</v>
      </c>
      <c r="F21" s="5" t="s">
        <v>167</v>
      </c>
      <c r="G21" s="5" t="s">
        <v>62</v>
      </c>
      <c r="H21" s="5" t="s">
        <v>290</v>
      </c>
      <c r="I21" s="5" t="s">
        <v>33</v>
      </c>
      <c r="J21" s="41">
        <v>40774849.34860364</v>
      </c>
      <c r="K21" s="5" t="s">
        <v>704</v>
      </c>
      <c r="L21" s="42">
        <v>1E-09</v>
      </c>
      <c r="M21" s="43">
        <f>IFERROR(INDEX(Results!$A$5:$AA$3000,MATCH($H21,Results!$A$5:$A$3000,0),MATCH($I21,Results!$A$4:$AA$4,0)),"n/a")</f>
        <v>40774849.348603636</v>
      </c>
      <c r="N21" s="42">
        <f>IF(AND(ISNUMBER(M21),ISNUMBER(J21)),M21-J21,"")</f>
        <v>0.0</v>
      </c>
      <c r="O21" s="44" t="str">
        <f>IF(K21="text",IF(M21&amp;""=J21&amp;"","PASS","FAIL"),IF(NOT(ISNUMBER(M21)),"FAIL",IF(K21="rel",IF(ABS(N21)&lt;=L21*MAX(1,ABS(J21)),"PASS","FAIL"),IF(ABS(N21)&lt;=L21,"PASS","FAIL"))))</f>
        <v>PASS</v>
      </c>
      <c r="P21" s="5" t="s">
        <v>709</v>
      </c>
    </row>
    <row r="22" spans="1:16">
      <c r="A22" s="4" t="s">
        <v>710</v>
      </c>
      <c r="B22" s="5" t="s">
        <v>695</v>
      </c>
      <c r="C22" s="5" t="s">
        <v>711</v>
      </c>
      <c r="D22" s="5" t="s">
        <v>712</v>
      </c>
      <c r="E22" s="5" t="s">
        <v>703</v>
      </c>
      <c r="F22" s="5" t="s">
        <v>167</v>
      </c>
      <c r="G22" s="5" t="s">
        <v>62</v>
      </c>
      <c r="H22" s="5" t="s">
        <v>290</v>
      </c>
      <c r="I22" s="5" t="s">
        <v>504</v>
      </c>
      <c r="J22" s="45" t="s">
        <v>285</v>
      </c>
      <c r="K22" s="5" t="s">
        <v>713</v>
      </c>
      <c r="L22" s="42">
        <v>0</v>
      </c>
      <c r="M22" s="43" t="str">
        <f>IFERROR(INDEX(Results!$A$5:$AA$3000,MATCH($H22,Results!$A$5:$A$3000,0),MATCH($I22,Results!$A$4:$AA$4,0)),"n/a")</f>
        <v>Y</v>
      </c>
      <c r="N22" s="42">
        <f>IF(AND(ISNUMBER(M22),ISNUMBER(J22)),M22-J22,"")</f>
        <v/>
      </c>
      <c r="O22" s="44" t="str">
        <f>IF(K22="text",IF(M22&amp;""=J22&amp;"","PASS","FAIL"),IF(NOT(ISNUMBER(M22)),"FAIL",IF(K22="rel",IF(ABS(N22)&lt;=L22*MAX(1,ABS(J22)),"PASS","FAIL"),IF(ABS(N22)&lt;=L22,"PASS","FAIL"))))</f>
        <v>PASS</v>
      </c>
      <c r="P22" s="5" t="s">
        <v>656</v>
      </c>
    </row>
    <row r="23" spans="1:16">
      <c r="A23" s="4" t="s">
        <v>714</v>
      </c>
      <c r="B23" s="5" t="s">
        <v>715</v>
      </c>
      <c r="C23" s="5" t="s">
        <v>716</v>
      </c>
      <c r="D23" s="5" t="s">
        <v>717</v>
      </c>
      <c r="E23" s="5" t="s">
        <v>698</v>
      </c>
      <c r="F23" s="5" t="s">
        <v>167</v>
      </c>
      <c r="G23" s="5" t="s">
        <v>62</v>
      </c>
      <c r="H23" s="5" t="s">
        <v>292</v>
      </c>
      <c r="I23" s="5" t="s">
        <v>33</v>
      </c>
      <c r="J23" s="41">
        <v>760.4939328393385</v>
      </c>
      <c r="K23" s="5" t="s">
        <v>704</v>
      </c>
      <c r="L23" s="42">
        <v>1E-09</v>
      </c>
      <c r="M23" s="43">
        <f>IFERROR(INDEX(Results!$A$5:$AA$3000,MATCH($H23,Results!$A$5:$A$3000,0),MATCH($I23,Results!$A$4:$AA$4,0)),"n/a")</f>
        <v>760.4939328393385</v>
      </c>
      <c r="N23" s="42">
        <f>IF(AND(ISNUMBER(M23),ISNUMBER(J23)),M23-J23,"")</f>
        <v>0.0</v>
      </c>
      <c r="O23" s="44" t="str">
        <f>IF(K23="text",IF(M23&amp;""=J23&amp;"","PASS","FAIL"),IF(NOT(ISNUMBER(M23)),"FAIL",IF(K23="rel",IF(ABS(N23)&lt;=L23*MAX(1,ABS(J23)),"PASS","FAIL"),IF(ABS(N23)&lt;=L23,"PASS","FAIL"))))</f>
        <v>PASS</v>
      </c>
      <c r="P23" s="5" t="s">
        <v>718</v>
      </c>
    </row>
    <row r="24" spans="1:16">
      <c r="A24" s="4" t="s">
        <v>719</v>
      </c>
      <c r="B24" s="5" t="s">
        <v>715</v>
      </c>
      <c r="C24" s="5" t="s">
        <v>720</v>
      </c>
      <c r="D24" s="5" t="s">
        <v>171</v>
      </c>
      <c r="E24" s="5" t="s">
        <v>721</v>
      </c>
      <c r="F24" s="5" t="s">
        <v>167</v>
      </c>
      <c r="G24" s="5" t="s">
        <v>68</v>
      </c>
      <c r="H24" s="5" t="s">
        <v>400</v>
      </c>
      <c r="I24" s="5" t="s">
        <v>569</v>
      </c>
      <c r="J24" s="41">
        <v>0.003</v>
      </c>
      <c r="K24" s="5" t="s">
        <v>655</v>
      </c>
      <c r="L24" s="42">
        <v>1E-12</v>
      </c>
      <c r="M24" s="43">
        <f>IFERROR(INDEX(TradeCalc!$A$5:$Y$3000,MATCH($H24,TradeCalc!$A$5:$A$3000,0),MATCH($I24,TradeCalc!$A$4:$Y$4,0)),"n/a")</f>
        <v>0.003</v>
      </c>
      <c r="N24" s="42">
        <f>IF(AND(ISNUMBER(M24),ISNUMBER(J24)),M24-J24,"")</f>
        <v>0.0</v>
      </c>
      <c r="O24" s="44" t="str">
        <f>IF(K24="text",IF(M24&amp;""=J24&amp;"","PASS","FAIL"),IF(NOT(ISNUMBER(M24)),"FAIL",IF(K24="rel",IF(ABS(N24)&lt;=L24*MAX(1,ABS(J24)),"PASS","FAIL"),IF(ABS(N24)&lt;=L24,"PASS","FAIL"))))</f>
        <v>PASS</v>
      </c>
      <c r="P24" s="5" t="s">
        <v>656</v>
      </c>
    </row>
    <row r="25" spans="1:16">
      <c r="A25" s="4" t="s">
        <v>722</v>
      </c>
      <c r="B25" s="5" t="s">
        <v>715</v>
      </c>
      <c r="C25" s="5" t="s">
        <v>723</v>
      </c>
      <c r="D25" s="5" t="s">
        <v>724</v>
      </c>
      <c r="E25" s="5" t="s">
        <v>698</v>
      </c>
      <c r="F25" s="5" t="s">
        <v>167</v>
      </c>
      <c r="G25" s="5" t="s">
        <v>68</v>
      </c>
      <c r="H25" s="5" t="s">
        <v>400</v>
      </c>
      <c r="I25" s="5" t="s">
        <v>564</v>
      </c>
      <c r="J25" s="41">
        <v>-0.9941752720429311</v>
      </c>
      <c r="K25" s="5" t="s">
        <v>704</v>
      </c>
      <c r="L25" s="42">
        <v>1E-09</v>
      </c>
      <c r="M25" s="43">
        <f>IFERROR(INDEX(TradeCalc!$A$5:$Y$3000,MATCH($H25,TradeCalc!$A$5:$A$3000,0),MATCH($I25,TradeCalc!$A$4:$Y$4,0)),"n/a")</f>
        <v>-0.9941752720429311</v>
      </c>
      <c r="N25" s="42">
        <f>IF(AND(ISNUMBER(M25),ISNUMBER(J25)),M25-J25,"")</f>
        <v>0.0</v>
      </c>
      <c r="O25" s="44" t="str">
        <f>IF(K25="text",IF(M25&amp;""=J25&amp;"","PASS","FAIL"),IF(NOT(ISNUMBER(M25)),"FAIL",IF(K25="rel",IF(ABS(N25)&lt;=L25*MAX(1,ABS(J25)),"PASS","FAIL"),IF(ABS(N25)&lt;=L25,"PASS","FAIL"))))</f>
        <v>PASS</v>
      </c>
      <c r="P25" s="5" t="s">
        <v>656</v>
      </c>
    </row>
    <row r="26" spans="1:16">
      <c r="A26" s="4" t="s">
        <v>725</v>
      </c>
      <c r="B26" s="5" t="s">
        <v>726</v>
      </c>
      <c r="C26" s="5" t="s">
        <v>727</v>
      </c>
      <c r="D26" s="5" t="s">
        <v>728</v>
      </c>
      <c r="E26" s="5" t="s">
        <v>721</v>
      </c>
      <c r="F26" s="5" t="s">
        <v>276</v>
      </c>
      <c r="G26" s="5" t="s">
        <v>68</v>
      </c>
      <c r="H26" s="5" t="s">
        <v>402</v>
      </c>
      <c r="I26" s="5" t="s">
        <v>555</v>
      </c>
      <c r="J26" s="45" t="s">
        <v>572</v>
      </c>
      <c r="K26" s="5" t="s">
        <v>713</v>
      </c>
      <c r="L26" s="42">
        <v>0</v>
      </c>
      <c r="M26" s="43" t="str">
        <f>IFERROR(INDEX(TradeCalc!$A$5:$Y$3000,MATCH($H26,TradeCalc!$A$5:$A$3000,0),MATCH($I26,TradeCalc!$A$4:$Y$4,0)),"n/a")</f>
        <v>EXCLUDED</v>
      </c>
      <c r="N26" s="42">
        <f>IF(AND(ISNUMBER(M26),ISNUMBER(J26)),M26-J26,"")</f>
        <v/>
      </c>
      <c r="O26" s="44" t="str">
        <f>IF(K26="text",IF(M26&amp;""=J26&amp;"","PASS","FAIL"),IF(NOT(ISNUMBER(M26)),"FAIL",IF(K26="rel",IF(ABS(N26)&lt;=L26*MAX(1,ABS(J26)),"PASS","FAIL"),IF(ABS(N26)&lt;=L26,"PASS","FAIL"))))</f>
        <v>PASS</v>
      </c>
      <c r="P26" s="5" t="s">
        <v>729</v>
      </c>
    </row>
    <row r="27" spans="1:16">
      <c r="A27" s="4" t="s">
        <v>730</v>
      </c>
      <c r="B27" s="5" t="s">
        <v>715</v>
      </c>
      <c r="C27" s="5" t="s">
        <v>731</v>
      </c>
      <c r="D27" s="5" t="s">
        <v>171</v>
      </c>
      <c r="E27" s="5" t="s">
        <v>721</v>
      </c>
      <c r="F27" s="5" t="s">
        <v>167</v>
      </c>
      <c r="G27" s="5" t="s">
        <v>68</v>
      </c>
      <c r="H27" s="5" t="s">
        <v>403</v>
      </c>
      <c r="I27" s="5" t="s">
        <v>569</v>
      </c>
      <c r="J27" s="41">
        <v>5.5</v>
      </c>
      <c r="K27" s="5" t="s">
        <v>655</v>
      </c>
      <c r="L27" s="42">
        <v>1E-12</v>
      </c>
      <c r="M27" s="43">
        <f>IFERROR(INDEX(TradeCalc!$A$5:$Y$3000,MATCH($H27,TradeCalc!$A$5:$A$3000,0),MATCH($I27,TradeCalc!$A$4:$Y$4,0)),"n/a")</f>
        <v>5.5</v>
      </c>
      <c r="N27" s="42">
        <f>IF(AND(ISNUMBER(M27),ISNUMBER(J27)),M27-J27,"")</f>
        <v>0.0</v>
      </c>
      <c r="O27" s="44" t="str">
        <f>IF(K27="text",IF(M27&amp;""=J27&amp;"","PASS","FAIL"),IF(NOT(ISNUMBER(M27)),"FAIL",IF(K27="rel",IF(ABS(N27)&lt;=L27*MAX(1,ABS(J27)),"PASS","FAIL"),IF(ABS(N27)&lt;=L27,"PASS","FAIL"))))</f>
        <v>PASS</v>
      </c>
      <c r="P27" s="5" t="s">
        <v>656</v>
      </c>
    </row>
    <row r="28" spans="1:16">
      <c r="A28" s="4" t="s">
        <v>732</v>
      </c>
      <c r="B28" s="5" t="s">
        <v>733</v>
      </c>
      <c r="C28" s="5" t="s">
        <v>734</v>
      </c>
      <c r="D28" s="5" t="s">
        <v>735</v>
      </c>
      <c r="E28" s="5" t="s">
        <v>721</v>
      </c>
      <c r="F28" s="5" t="s">
        <v>167</v>
      </c>
      <c r="G28" s="5" t="s">
        <v>62</v>
      </c>
      <c r="H28" s="5" t="s">
        <v>300</v>
      </c>
      <c r="I28" s="5" t="s">
        <v>499</v>
      </c>
      <c r="J28" s="41">
        <v>880</v>
      </c>
      <c r="K28" s="5" t="s">
        <v>655</v>
      </c>
      <c r="L28" s="42">
        <v>1E-09</v>
      </c>
      <c r="M28" s="43">
        <f>IFERROR(INDEX(Results!$A$5:$AA$3000,MATCH($H28,Results!$A$5:$A$3000,0),MATCH($I28,Results!$A$4:$AA$4,0)),"n/a")</f>
        <v>880.0</v>
      </c>
      <c r="N28" s="42">
        <f>IF(AND(ISNUMBER(M28),ISNUMBER(J28)),M28-J28,"")</f>
        <v>0.0</v>
      </c>
      <c r="O28" s="44" t="str">
        <f>IF(K28="text",IF(M28&amp;""=J28&amp;"","PASS","FAIL"),IF(NOT(ISNUMBER(M28)),"FAIL",IF(K28="rel",IF(ABS(N28)&lt;=L28*MAX(1,ABS(J28)),"PASS","FAIL"),IF(ABS(N28)&lt;=L28,"PASS","FAIL"))))</f>
        <v>PASS</v>
      </c>
      <c r="P28" s="5" t="s">
        <v>656</v>
      </c>
    </row>
    <row r="29" spans="1:16">
      <c r="A29" s="4" t="s">
        <v>736</v>
      </c>
      <c r="B29" s="5" t="s">
        <v>733</v>
      </c>
      <c r="C29" s="5" t="s">
        <v>737</v>
      </c>
      <c r="D29" s="5" t="s">
        <v>738</v>
      </c>
      <c r="E29" s="5" t="s">
        <v>721</v>
      </c>
      <c r="F29" s="5" t="s">
        <v>167</v>
      </c>
      <c r="G29" s="5" t="s">
        <v>62</v>
      </c>
      <c r="H29" s="5" t="s">
        <v>300</v>
      </c>
      <c r="I29" s="5" t="s">
        <v>33</v>
      </c>
      <c r="J29" s="41">
        <v>1232</v>
      </c>
      <c r="K29" s="5" t="s">
        <v>655</v>
      </c>
      <c r="L29" s="42">
        <v>1E-09</v>
      </c>
      <c r="M29" s="43">
        <f>IFERROR(INDEX(Results!$A$5:$AA$3000,MATCH($H29,Results!$A$5:$A$3000,0),MATCH($I29,Results!$A$4:$AA$4,0)),"n/a")</f>
        <v>1232.0</v>
      </c>
      <c r="N29" s="42">
        <f>IF(AND(ISNUMBER(M29),ISNUMBER(J29)),M29-J29,"")</f>
        <v>0.0</v>
      </c>
      <c r="O29" s="44" t="str">
        <f>IF(K29="text",IF(M29&amp;""=J29&amp;"","PASS","FAIL"),IF(NOT(ISNUMBER(M29)),"FAIL",IF(K29="rel",IF(ABS(N29)&lt;=L29*MAX(1,ABS(J29)),"PASS","FAIL"),IF(ABS(N29)&lt;=L29,"PASS","FAIL"))))</f>
        <v>PASS</v>
      </c>
      <c r="P29" s="5" t="s">
        <v>656</v>
      </c>
    </row>
    <row r="30" spans="1:16">
      <c r="A30" s="4" t="s">
        <v>739</v>
      </c>
      <c r="B30" s="5" t="s">
        <v>740</v>
      </c>
      <c r="C30" s="5" t="s">
        <v>741</v>
      </c>
      <c r="D30" s="5" t="s">
        <v>742</v>
      </c>
      <c r="E30" s="5" t="s">
        <v>721</v>
      </c>
      <c r="F30" s="5" t="s">
        <v>276</v>
      </c>
      <c r="G30" s="5" t="s">
        <v>68</v>
      </c>
      <c r="H30" s="5" t="s">
        <v>415</v>
      </c>
      <c r="I30" s="5" t="s">
        <v>555</v>
      </c>
      <c r="J30" s="45" t="s">
        <v>572</v>
      </c>
      <c r="K30" s="5" t="s">
        <v>713</v>
      </c>
      <c r="L30" s="42">
        <v>0</v>
      </c>
      <c r="M30" s="43" t="str">
        <f>IFERROR(INDEX(TradeCalc!$A$5:$Y$3000,MATCH($H30,TradeCalc!$A$5:$A$3000,0),MATCH($I30,TradeCalc!$A$4:$Y$4,0)),"n/a")</f>
        <v>EXCLUDED</v>
      </c>
      <c r="N30" s="42">
        <f>IF(AND(ISNUMBER(M30),ISNUMBER(J30)),M30-J30,"")</f>
        <v/>
      </c>
      <c r="O30" s="44" t="str">
        <f>IF(K30="text",IF(M30&amp;""=J30&amp;"","PASS","FAIL"),IF(NOT(ISNUMBER(M30)),"FAIL",IF(K30="rel",IF(ABS(N30)&lt;=L30*MAX(1,ABS(J30)),"PASS","FAIL"),IF(ABS(N30)&lt;=L30,"PASS","FAIL"))))</f>
        <v>PASS</v>
      </c>
      <c r="P30" s="5" t="s">
        <v>656</v>
      </c>
    </row>
    <row r="31" spans="1:16">
      <c r="A31" s="4" t="s">
        <v>743</v>
      </c>
      <c r="B31" s="5" t="s">
        <v>744</v>
      </c>
      <c r="C31" s="5" t="s">
        <v>745</v>
      </c>
      <c r="D31" s="5" t="s">
        <v>746</v>
      </c>
      <c r="E31" s="5" t="s">
        <v>721</v>
      </c>
      <c r="F31" s="5" t="s">
        <v>167</v>
      </c>
      <c r="G31" s="5" t="s">
        <v>68</v>
      </c>
      <c r="H31" s="5" t="s">
        <v>417</v>
      </c>
      <c r="I31" s="5" t="s">
        <v>513</v>
      </c>
      <c r="J31" s="45" t="s">
        <v>531</v>
      </c>
      <c r="K31" s="5" t="s">
        <v>713</v>
      </c>
      <c r="L31" s="42">
        <v>0</v>
      </c>
      <c r="M31" s="43" t="str">
        <f>IFERROR(INDEX(TradeCalc!$A$5:$Y$3000,MATCH($H31,TradeCalc!$A$5:$A$3000,0),MATCH($I31,TradeCalc!$A$4:$Y$4,0)),"n/a")</f>
        <v>CO|CLIMATIC|STD</v>
      </c>
      <c r="N31" s="42">
        <f>IF(AND(ISNUMBER(M31),ISNUMBER(J31)),M31-J31,"")</f>
        <v/>
      </c>
      <c r="O31" s="44" t="str">
        <f>IF(K31="text",IF(M31&amp;""=J31&amp;"","PASS","FAIL"),IF(NOT(ISNUMBER(M31)),"FAIL",IF(K31="rel",IF(ABS(N31)&lt;=L31*MAX(1,ABS(J31)),"PASS","FAIL"),IF(ABS(N31)&lt;=L31,"PASS","FAIL"))))</f>
        <v>PASS</v>
      </c>
      <c r="P31" s="5" t="s">
        <v>747</v>
      </c>
    </row>
    <row r="32" spans="1:16">
      <c r="A32" s="4" t="s">
        <v>748</v>
      </c>
      <c r="B32" s="5" t="s">
        <v>744</v>
      </c>
      <c r="C32" s="5" t="s">
        <v>749</v>
      </c>
      <c r="D32" s="5" t="s">
        <v>205</v>
      </c>
      <c r="E32" s="5" t="s">
        <v>721</v>
      </c>
      <c r="F32" s="5" t="s">
        <v>167</v>
      </c>
      <c r="G32" s="5" t="s">
        <v>68</v>
      </c>
      <c r="H32" s="5" t="s">
        <v>452</v>
      </c>
      <c r="I32" s="5" t="s">
        <v>556</v>
      </c>
      <c r="J32" s="41">
        <v>0.0042</v>
      </c>
      <c r="K32" s="5" t="s">
        <v>655</v>
      </c>
      <c r="L32" s="42">
        <v>1E-12</v>
      </c>
      <c r="M32" s="43">
        <f>IFERROR(INDEX(TradeCalc!$A$5:$Y$3000,MATCH($H32,TradeCalc!$A$5:$A$3000,0),MATCH($I32,TradeCalc!$A$4:$Y$4,0)),"n/a")</f>
        <v>0.0042</v>
      </c>
      <c r="N32" s="42">
        <f>IF(AND(ISNUMBER(M32),ISNUMBER(J32)),M32-J32,"")</f>
        <v>0.0</v>
      </c>
      <c r="O32" s="44" t="str">
        <f>IF(K32="text",IF(M32&amp;""=J32&amp;"","PASS","FAIL"),IF(NOT(ISNUMBER(M32)),"FAIL",IF(K32="rel",IF(ABS(N32)&lt;=L32*MAX(1,ABS(J32)),"PASS","FAIL"),IF(ABS(N32)&lt;=L32,"PASS","FAIL"))))</f>
        <v>PASS</v>
      </c>
      <c r="P32" s="5" t="s">
        <v>656</v>
      </c>
    </row>
    <row r="34" spans="2:16">
      <c r="B34" s="7" t="s">
        <v>750</v>
      </c>
      <c r="C34" s="7" t="str">
        <f>COUNTIF(O5:O32,"PASS")&amp;" passed, "&amp;COUNTIF(O5:O32,"FAIL")&amp;" failed of "&amp;COUNTA(A5:A32)</f>
        <v>28 passed, 0 failed of 28</v>
      </c>
    </row>
    <row r="36" spans="2:16" ht="30" customHeight="1">
      <c r="B36" s="5" t="s">
        <v>751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2:16" ht="30" customHeight="1">
      <c r="B37" s="5" t="s">
        <v>752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2:16" ht="30" customHeight="1">
      <c r="B38" s="5" t="s">
        <v>927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</sheetData>
  <mergeCells count="3">
    <mergeCell ref="B36:P36"/>
    <mergeCell ref="B37:P37"/>
    <mergeCell ref="B38:P38"/>
  </mergeCells>
  <conditionalFormatting sqref="O5:O3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4" right="0.4" top="0.5" bottom="0.5" header="0.3" footer="0.3"/>
  <pageSetup paperSize="9" fitToHeight="0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Tests">
    <tabColor rgb="FF548235"/>
    <pageSetUpPr fitToPage="1"/>
  </sheetPr>
  <dimension ref="A1:F27"/>
  <sheetViews>
    <sheetView showGridLines="0" zoomScale="90" zoomScaleNormal="90" workbookViewId="0">
      <pane xSplit="1" topLeftCell="B1" activePane="topRight" state="frozen"/>
      <selection pane="topRight"/>
    </sheetView>
  </sheetViews>
  <sheetFormatPr defaultRowHeight="15"/>
  <cols>
    <col min="1" max="1" width="40.7109375" customWidth="1"/>
    <col min="2" max="2" width="46.7109375" customWidth="1"/>
    <col min="3" max="10" width="14.7109375" customWidth="1"/>
  </cols>
  <sheetData>
    <row r="1" spans="1:6">
      <c r="A1" s="1" t="s">
        <v>74</v>
      </c>
    </row>
    <row r="2" spans="1:6">
      <c r="A2" s="2" t="s">
        <v>587</v>
      </c>
    </row>
    <row r="4" spans="1:6">
      <c r="A4" s="3" t="s">
        <v>588</v>
      </c>
    </row>
    <row r="5" spans="1:6">
      <c r="A5" s="6" t="s">
        <v>589</v>
      </c>
      <c r="B5" s="6" t="s">
        <v>590</v>
      </c>
      <c r="C5" s="6" t="s">
        <v>591</v>
      </c>
      <c r="D5" s="6" t="s">
        <v>592</v>
      </c>
      <c r="E5" s="6" t="s">
        <v>593</v>
      </c>
      <c r="F5" s="6" t="s">
        <v>594</v>
      </c>
    </row>
    <row r="6" spans="1:6">
      <c r="A6" s="8" t="s">
        <v>595</v>
      </c>
      <c r="B6" s="46" t="s">
        <v>596</v>
      </c>
      <c r="C6" s="47">
        <v>7.869386805747332</v>
      </c>
      <c r="D6" s="47">
        <f>SACCR_SupervisoryDuration(0,10)</f>
        <v>7.8693868057473315</v>
      </c>
      <c r="E6" s="48">
        <f>IFERROR(ABS(D6-C6),"")</f>
        <v>0</v>
      </c>
      <c r="F6" s="49" t="str">
        <f>IF(ISNUMBER(E6),IF(E6&lt;=1E-9*MAX(1,ABS(C6)),"PASS","FAIL"),"FAIL")</f>
        <v>PASS</v>
      </c>
    </row>
    <row r="7" spans="1:6">
      <c r="A7" s="8" t="s">
        <v>597</v>
      </c>
      <c r="B7" s="46" t="s">
        <v>598</v>
      </c>
      <c r="C7" s="47">
        <v>7.485592282404547</v>
      </c>
      <c r="D7" s="47">
        <f>SACCR_SupervisoryDuration(1,11)</f>
        <v>7.485592282404547</v>
      </c>
      <c r="E7" s="48">
        <f>IFERROR(ABS(D7-C7),"")</f>
        <v>0</v>
      </c>
      <c r="F7" s="49" t="str">
        <f>IF(ISNUMBER(E7),IF(E7&lt;=1E-9*MAX(1,ABS(C7)),"PASS","FAIL"),"FAIL")</f>
        <v>PASS</v>
      </c>
    </row>
    <row r="8" spans="1:6">
      <c r="A8" s="8" t="s">
        <v>599</v>
      </c>
      <c r="B8" s="46" t="s">
        <v>600</v>
      </c>
      <c r="C8" s="47">
        <v>0.04</v>
      </c>
      <c r="D8" s="47">
        <f>SACCR_SupervisoryDuration(0,0.01,10/250)</f>
        <v>0.04</v>
      </c>
      <c r="E8" s="48">
        <f>IFERROR(ABS(D8-C8),"")</f>
        <v>0</v>
      </c>
      <c r="F8" s="49" t="str">
        <f>IF(ISNUMBER(E8),IF(E8&lt;=1E-9*MAX(1,ABS(C8)),"PASS","FAIL"),"FAIL")</f>
        <v>PASS</v>
      </c>
    </row>
    <row r="9" spans="1:6">
      <c r="A9" s="8" t="s">
        <v>601</v>
      </c>
      <c r="B9" s="46" t="s">
        <v>602</v>
      </c>
      <c r="C9" s="47">
        <v>0.8660254037844386</v>
      </c>
      <c r="D9" s="47">
        <f>SACCR_MaturityFactor(0.75)</f>
        <v>0.8660254037844386</v>
      </c>
      <c r="E9" s="48">
        <f>IFERROR(ABS(D9-C9),"")</f>
        <v>0</v>
      </c>
      <c r="F9" s="49" t="str">
        <f>IF(ISNUMBER(E9),IF(E9&lt;=1E-9*MAX(1,ABS(C9)),"PASS","FAIL"),"FAIL")</f>
        <v>PASS</v>
      </c>
    </row>
    <row r="10" spans="1:6">
      <c r="A10" s="8" t="s">
        <v>603</v>
      </c>
      <c r="B10" s="46" t="s">
        <v>604</v>
      </c>
      <c r="C10" s="47">
        <v>0.2</v>
      </c>
      <c r="D10" s="47">
        <f>SACCR_MaturityFactor(3/365)</f>
        <v>0.2</v>
      </c>
      <c r="E10" s="48">
        <f>IFERROR(ABS(D10-C10),"")</f>
        <v>0</v>
      </c>
      <c r="F10" s="49" t="str">
        <f>IF(ISNUMBER(E10),IF(E10&lt;=1E-9*MAX(1,ABS(C10)),"PASS","FAIL"),"FAIL")</f>
        <v>PASS</v>
      </c>
    </row>
    <row r="11" spans="1:6">
      <c r="A11" s="8" t="s">
        <v>605</v>
      </c>
      <c r="B11" s="46" t="s">
        <v>606</v>
      </c>
      <c r="C11" s="47">
        <v>0.3</v>
      </c>
      <c r="D11" s="47">
        <f>SACCR_MaturityFactor(0,TRUE,10)</f>
        <v>0.3</v>
      </c>
      <c r="E11" s="48">
        <f>IFERROR(ABS(D11-C11),"")</f>
        <v>0</v>
      </c>
      <c r="F11" s="49" t="str">
        <f>IF(ISNUMBER(E11),IF(E11&lt;=1E-9*MAX(1,ABS(C11)),"PASS","FAIL"),"FAIL")</f>
        <v>PASS</v>
      </c>
    </row>
    <row r="12" spans="1:6">
      <c r="A12" s="8" t="s">
        <v>607</v>
      </c>
      <c r="B12" s="46" t="s">
        <v>608</v>
      </c>
      <c r="C12" s="47">
        <v>-0.2693952177105327</v>
      </c>
      <c r="D12" s="47">
        <f>SACCR_OptionDelta(0.06,0.05,1,0.5,FALSE,TRUE)</f>
        <v>-0.2693952177105327</v>
      </c>
      <c r="E12" s="48">
        <f>IFERROR(ABS(D12-C12),"")</f>
        <v>0</v>
      </c>
      <c r="F12" s="49" t="str">
        <f>IF(ISNUMBER(E12),IF(E12&lt;=1E-9*MAX(1,ABS(C12)),"PASS","FAIL"),"FAIL")</f>
        <v>PASS</v>
      </c>
    </row>
    <row r="13" spans="1:6">
      <c r="A13" s="8" t="s">
        <v>609</v>
      </c>
      <c r="B13" s="46" t="s">
        <v>610</v>
      </c>
      <c r="C13" s="47">
        <v>-0.3790113458278029</v>
      </c>
      <c r="D13" s="47">
        <f>SACCR_OptionDelta(100,110,0.5,0.32,TRUE,FALSE)</f>
        <v>-0.37901134582780294</v>
      </c>
      <c r="E13" s="48">
        <f>IFERROR(ABS(D13-C13),"")</f>
        <v>0</v>
      </c>
      <c r="F13" s="49" t="str">
        <f>IF(ISNUMBER(E13),IF(E13&lt;=1E-9*MAX(1,ABS(C13)),"PASS","FAIL"),"FAIL")</f>
        <v>PASS</v>
      </c>
    </row>
    <row r="14" spans="1:6">
      <c r="A14" s="8" t="s">
        <v>611</v>
      </c>
      <c r="B14" s="46" t="s">
        <v>612</v>
      </c>
      <c r="C14" s="47">
        <v>0.4614393579412491</v>
      </c>
      <c r="D14" s="47">
        <f>SACCR_OptionDelta(-0.002,0.001,2,0.5,TRUE,TRUE,0.01)</f>
        <v>0.46143935794124913</v>
      </c>
      <c r="E14" s="48">
        <f>IFERROR(ABS(D14-C14),"")</f>
        <v>0</v>
      </c>
      <c r="F14" s="49" t="str">
        <f>IF(ISNUMBER(E14),IF(E14&lt;=1E-9*MAX(1,ABS(C14)),"PASS","FAIL"),"FAIL")</f>
        <v>PASS</v>
      </c>
    </row>
    <row r="15" spans="1:6">
      <c r="A15" s="8" t="s">
        <v>613</v>
      </c>
      <c r="B15" s="46" t="s">
        <v>614</v>
      </c>
      <c r="C15" s="47">
        <v>5.740967544396816</v>
      </c>
      <c r="D15" s="47">
        <f>SACCR_CDODelta(0.03,0.06,TRUE)</f>
        <v>5.740967544396816</v>
      </c>
      <c r="E15" s="48">
        <f>IFERROR(ABS(D15-C15),"")</f>
        <v>0</v>
      </c>
      <c r="F15" s="49" t="str">
        <f>IF(ISNUMBER(E15),IF(E15&lt;=1E-9*MAX(1,ABS(C15)),"PASS","FAIL"),"FAIL")</f>
        <v>PASS</v>
      </c>
    </row>
    <row r="16" spans="1:6">
      <c r="A16" s="8" t="s">
        <v>615</v>
      </c>
      <c r="B16" s="46" t="s">
        <v>616</v>
      </c>
      <c r="C16" s="47">
        <v>59269.9634637104</v>
      </c>
      <c r="D16" s="47">
        <f>SACCR_IREffectiveNotional(0.0,-36253.849384403635,78693.86805747332)</f>
        <v>59269.9634637104</v>
      </c>
      <c r="E16" s="48">
        <f>IFERROR(ABS(D16-C16),"")</f>
        <v>0</v>
      </c>
      <c r="F16" s="49" t="str">
        <f>IF(ISNUMBER(E16),IF(E16&lt;=1E-9*MAX(1,ABS(C16)),"PASS","FAIL"),"FAIL")</f>
        <v>PASS</v>
      </c>
    </row>
    <row r="17" spans="1:6">
      <c r="A17" s="8" t="s">
        <v>617</v>
      </c>
      <c r="B17" s="46" t="s">
        <v>618</v>
      </c>
      <c r="C17" s="47">
        <v>282.1288318596666</v>
      </c>
      <c r="D17" s="47">
        <f>SACCR_FactorAggregation({105.86193791695607,-279.91632166374467,168.11140486573228},{0.5,0.5,0.8})</f>
        <v>282.1288318596666</v>
      </c>
      <c r="E17" s="48">
        <f>IFERROR(ABS(D17-C17),"")</f>
        <v>0</v>
      </c>
      <c r="F17" s="49" t="str">
        <f>IF(ISNUMBER(E17),IF(E17&lt;=1E-9*MAX(1,ABS(C17)),"PASS","FAIL"),"FAIL")</f>
        <v>PASS</v>
      </c>
    </row>
    <row r="18" spans="1:6">
      <c r="A18" s="8" t="s">
        <v>619</v>
      </c>
      <c r="B18" s="46" t="s">
        <v>620</v>
      </c>
      <c r="C18" s="47">
        <v>0.9651926811871945</v>
      </c>
      <c r="D18" s="47">
        <f>SACCR_Multiplier(-20,282)</f>
        <v>0.9651926811871945</v>
      </c>
      <c r="E18" s="48">
        <f>IFERROR(ABS(D18-C18),"")</f>
        <v>0</v>
      </c>
      <c r="F18" s="49" t="str">
        <f>IF(ISNUMBER(E18),IF(E18&lt;=1E-9*MAX(1,ABS(C18)),"PASS","FAIL"),"FAIL")</f>
        <v>PASS</v>
      </c>
    </row>
    <row r="19" spans="1:6">
      <c r="A19" s="8" t="s">
        <v>621</v>
      </c>
      <c r="B19" s="46" t="s">
        <v>622</v>
      </c>
      <c r="C19" s="47">
        <v>1</v>
      </c>
      <c r="D19" s="47">
        <f>SACCR_Multiplier(10,282)</f>
        <v>1.0</v>
      </c>
      <c r="E19" s="48">
        <f>IFERROR(ABS(D19-C19),"")</f>
        <v>0</v>
      </c>
      <c r="F19" s="49" t="str">
        <f>IF(ISNUMBER(E19),IF(E19&lt;=1E-9*MAX(1,ABS(C19)),"PASS","FAIL"),"FAIL")</f>
        <v>PASS</v>
      </c>
    </row>
    <row r="20" spans="1:6">
      <c r="A20" s="8" t="s">
        <v>623</v>
      </c>
      <c r="B20" s="46" t="s">
        <v>624</v>
      </c>
      <c r="C20" s="47">
        <v>8</v>
      </c>
      <c r="D20" s="47">
        <f>SACCR_ReplacementCost(5,10,TRUE,0,10,2)</f>
        <v>8.0</v>
      </c>
      <c r="E20" s="48">
        <f>IFERROR(ABS(D20-C20),"")</f>
        <v>0</v>
      </c>
      <c r="F20" s="49" t="str">
        <f>IF(ISNUMBER(E20),IF(E20&lt;=1E-9*MAX(1,ABS(C20)),"PASS","FAIL"),"FAIL")</f>
        <v>PASS</v>
      </c>
    </row>
    <row r="21" spans="1:6">
      <c r="A21" s="8" t="s">
        <v>625</v>
      </c>
      <c r="B21" s="46" t="s">
        <v>626</v>
      </c>
      <c r="C21" s="47">
        <v>0.9750021048517795</v>
      </c>
      <c r="D21" s="47">
        <f>SACCR_NormCDF(1.96)</f>
        <v>0.9750021048517795</v>
      </c>
      <c r="E21" s="48">
        <f>IFERROR(ABS(D21-C21),"")</f>
        <v>0</v>
      </c>
      <c r="F21" s="49" t="str">
        <f>IF(ISNUMBER(E21),IF(E21&lt;=1E-9*MAX(1,ABS(C21)),"PASS","FAIL"),"FAIL")</f>
        <v>PASS</v>
      </c>
    </row>
    <row r="22" spans="1:6">
      <c r="A22" s="8" t="s">
        <v>627</v>
      </c>
      <c r="B22" s="46" t="s">
        <v>628</v>
      </c>
      <c r="C22" s="47">
        <v>6.220960574271819E-16</v>
      </c>
      <c r="D22" s="47">
        <f>SACCR_NormCDF(-8)</f>
        <v>6.220960574271819e-16</v>
      </c>
      <c r="E22" s="48">
        <f>IFERROR(ABS(D22-C22),"")</f>
        <v>0</v>
      </c>
      <c r="F22" s="49" t="str">
        <f>IF(ISNUMBER(E22),IF(E22&lt;=1E-9*MAX(1,ABS(C22)),"PASS","FAIL"),"FAIL")</f>
        <v>PASS</v>
      </c>
    </row>
    <row r="23" spans="1:6">
      <c r="A23" s="8" t="s">
        <v>629</v>
      </c>
      <c r="B23" s="46" t="s">
        <v>630</v>
      </c>
      <c r="C23" s="47">
        <v>0.003</v>
      </c>
      <c r="D23" s="47">
        <f>SACCR_LambdaCRR(-0.002,0.001,TRUE)</f>
        <v>0.003</v>
      </c>
      <c r="E23" s="48">
        <f>IFERROR(ABS(D23-C23),"")</f>
        <v>0</v>
      </c>
      <c r="F23" s="49" t="str">
        <f>IF(ISNUMBER(E23),IF(E23&lt;=1E-9*MAX(1,ABS(C23)),"PASS","FAIL"),"FAIL")</f>
        <v>PASS</v>
      </c>
    </row>
    <row r="24" spans="1:6">
      <c r="A24" s="8" t="s">
        <v>631</v>
      </c>
      <c r="B24" s="46" t="s">
        <v>632</v>
      </c>
      <c r="C24" s="47">
        <v>0</v>
      </c>
      <c r="D24" s="47">
        <f>SACCR_LambdaCRR(0.02,0.03,TRUE)</f>
        <v>0.0</v>
      </c>
      <c r="E24" s="48">
        <f>IFERROR(ABS(D24-C24),"")</f>
        <v>0</v>
      </c>
      <c r="F24" s="49" t="str">
        <f>IF(ISNUMBER(E24),IF(E24&lt;=1E-9*MAX(1,ABS(C24)),"PASS","FAIL"),"FAIL")</f>
        <v>PASS</v>
      </c>
    </row>
    <row r="25" spans="1:6">
      <c r="A25" s="8" t="s">
        <v>633</v>
      </c>
      <c r="B25" s="46" t="s">
        <v>634</v>
      </c>
      <c r="C25" s="47">
        <v>0.0005</v>
      </c>
      <c r="D25" s="47">
        <f>SACCR_LambdaCRR(0.0005,0.01,TRUE)</f>
        <v>0.0005</v>
      </c>
      <c r="E25" s="48">
        <f>IFERROR(ABS(D25-C25),"")</f>
        <v>0</v>
      </c>
      <c r="F25" s="49" t="str">
        <f>IF(ISNUMBER(E25),IF(E25&lt;=1E-9*MAX(1,ABS(C25)),"PASS","FAIL"),"FAIL")</f>
        <v>PASS</v>
      </c>
    </row>
    <row r="26" spans="1:6">
      <c r="A26" s="8" t="s">
        <v>635</v>
      </c>
      <c r="B26" s="46" t="s">
        <v>636</v>
      </c>
      <c r="C26" s="47">
        <v>5.5</v>
      </c>
      <c r="D26" s="47">
        <f>SACCR_LambdaCRR(-5,-4,FALSE)</f>
        <v>5.5</v>
      </c>
      <c r="E26" s="48">
        <f>IFERROR(ABS(D26-C26),"")</f>
        <v>0</v>
      </c>
      <c r="F26" s="49" t="str">
        <f>IF(ISNUMBER(E26),IF(E26&lt;=1E-9*MAX(1,ABS(C26)),"PASS","FAIL"),"FAIL")</f>
        <v>PASS</v>
      </c>
    </row>
    <row r="27" spans="1:6">
      <c r="A27" s="8" t="s">
        <v>637</v>
      </c>
      <c r="B27" s="46" t="s">
        <v>638</v>
      </c>
      <c r="C27" s="47">
        <v>0</v>
      </c>
      <c r="D27" s="47">
        <f>SACCR_LambdaCRR(40,35,FALSE)</f>
        <v>0.0</v>
      </c>
      <c r="E27" s="48">
        <f>IFERROR(ABS(D27-C27),"")</f>
        <v>0</v>
      </c>
      <c r="F27" s="49" t="str">
        <f>IF(ISNUMBER(E27),IF(E27&lt;=1E-9*MAX(1,ABS(C27)),"PASS","FAIL"),"FAIL")</f>
        <v>PASS</v>
      </c>
    </row>
  </sheetData>
  <pageMargins left="0.4" right="0.4" top="0.5" bottom="0.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BaselVsCRR">
    <tabColor rgb="FF1F3864"/>
    <pageSetUpPr fitToPage="1"/>
  </sheetPr>
  <dimension ref="A1:I29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.7109375" customWidth="1"/>
    <col min="2" max="2" width="22.7109375" customWidth="1"/>
    <col min="3" max="3" width="44.7109375" customWidth="1"/>
    <col min="4" max="4" width="52.7109375" customWidth="1"/>
    <col min="5" max="5" width="13.7109375" customWidth="1"/>
    <col min="6" max="6" width="22.7109375" customWidth="1"/>
    <col min="7" max="7" width="44.7109375" customWidth="1"/>
    <col min="8" max="8" width="9.7109375" customWidth="1"/>
    <col min="9" max="9" width="20.7109375" customWidth="1"/>
  </cols>
  <sheetData>
    <row r="1" spans="1:9" ht="30" customHeight="1">
      <c r="A1" s="1" t="s">
        <v>754</v>
      </c>
    </row>
    <row r="2" spans="1:9">
      <c r="A2" s="2" t="s">
        <v>755</v>
      </c>
    </row>
    <row r="4" spans="1:9" ht="42" customHeight="1">
      <c r="A4" s="6" t="s">
        <v>756</v>
      </c>
      <c r="B4" s="6" t="s">
        <v>641</v>
      </c>
      <c r="C4" s="6" t="s">
        <v>757</v>
      </c>
      <c r="D4" s="6" t="s">
        <v>758</v>
      </c>
      <c r="E4" s="6" t="s">
        <v>759</v>
      </c>
      <c r="F4" s="6" t="s">
        <v>760</v>
      </c>
      <c r="G4" s="6" t="s">
        <v>761</v>
      </c>
      <c r="H4" s="6" t="s">
        <v>74</v>
      </c>
      <c r="I4" s="6" t="s">
        <v>762</v>
      </c>
    </row>
    <row r="5" spans="1:9" ht="39" customHeight="1">
      <c r="A5" s="50">
        <v>1</v>
      </c>
      <c r="B5" s="51" t="s">
        <v>763</v>
      </c>
      <c r="C5" s="5" t="s">
        <v>764</v>
      </c>
      <c r="D5" s="5" t="s">
        <v>765</v>
      </c>
      <c r="E5" s="52" t="s">
        <v>766</v>
      </c>
      <c r="F5" s="5" t="s">
        <v>767</v>
      </c>
      <c r="G5" s="5" t="s">
        <v>768</v>
      </c>
      <c r="H5" s="5" t="s">
        <v>769</v>
      </c>
      <c r="I5" s="5" t="s">
        <v>770</v>
      </c>
    </row>
    <row r="6" spans="1:9" ht="30" customHeight="1">
      <c r="A6" s="50">
        <v>2</v>
      </c>
      <c r="B6" s="51" t="s">
        <v>771</v>
      </c>
      <c r="C6" s="5" t="s">
        <v>772</v>
      </c>
      <c r="D6" s="5" t="s">
        <v>773</v>
      </c>
      <c r="E6" s="53" t="s">
        <v>774</v>
      </c>
      <c r="F6" s="5" t="s">
        <v>775</v>
      </c>
      <c r="G6" s="5" t="s">
        <v>776</v>
      </c>
      <c r="H6" s="5" t="s">
        <v>662</v>
      </c>
      <c r="I6" s="5" t="s">
        <v>770</v>
      </c>
    </row>
    <row r="7" spans="1:9" ht="52" customHeight="1">
      <c r="A7" s="50">
        <v>3</v>
      </c>
      <c r="B7" s="51" t="s">
        <v>777</v>
      </c>
      <c r="C7" s="5" t="s">
        <v>928</v>
      </c>
      <c r="D7" s="5" t="s">
        <v>779</v>
      </c>
      <c r="E7" s="52" t="s">
        <v>774</v>
      </c>
      <c r="F7" s="5" t="s">
        <v>929</v>
      </c>
      <c r="G7" s="5" t="s">
        <v>930</v>
      </c>
      <c r="H7" s="5" t="s">
        <v>782</v>
      </c>
      <c r="I7" s="54" t="s">
        <v>931</v>
      </c>
    </row>
    <row r="8" spans="1:9" ht="30" customHeight="1">
      <c r="A8" s="50">
        <v>4</v>
      </c>
      <c r="B8" s="51" t="s">
        <v>784</v>
      </c>
      <c r="C8" s="5" t="s">
        <v>932</v>
      </c>
      <c r="D8" s="5" t="s">
        <v>933</v>
      </c>
      <c r="E8" s="53" t="s">
        <v>934</v>
      </c>
      <c r="F8" s="5" t="s">
        <v>935</v>
      </c>
      <c r="G8" s="5" t="s">
        <v>936</v>
      </c>
      <c r="H8" s="5" t="s">
        <v>675</v>
      </c>
      <c r="I8" s="5" t="s">
        <v>770</v>
      </c>
    </row>
    <row r="9" spans="1:9" ht="30" customHeight="1">
      <c r="A9" s="50">
        <v>5</v>
      </c>
      <c r="B9" s="51" t="s">
        <v>790</v>
      </c>
      <c r="C9" s="5" t="s">
        <v>791</v>
      </c>
      <c r="D9" s="5" t="s">
        <v>792</v>
      </c>
      <c r="E9" s="53" t="s">
        <v>774</v>
      </c>
      <c r="F9" s="5" t="s">
        <v>775</v>
      </c>
      <c r="G9" s="5" t="s">
        <v>793</v>
      </c>
      <c r="H9" s="5" t="s">
        <v>692</v>
      </c>
      <c r="I9" s="5" t="s">
        <v>770</v>
      </c>
    </row>
    <row r="10" spans="1:9" ht="30" customHeight="1">
      <c r="A10" s="50">
        <v>6</v>
      </c>
      <c r="B10" s="51" t="s">
        <v>501</v>
      </c>
      <c r="C10" s="5" t="s">
        <v>794</v>
      </c>
      <c r="D10" s="5" t="s">
        <v>795</v>
      </c>
      <c r="E10" s="53" t="s">
        <v>774</v>
      </c>
      <c r="F10" s="5" t="s">
        <v>775</v>
      </c>
      <c r="G10" s="5" t="s">
        <v>793</v>
      </c>
      <c r="H10" s="5" t="s">
        <v>796</v>
      </c>
      <c r="I10" s="5" t="s">
        <v>770</v>
      </c>
    </row>
    <row r="11" spans="1:9" ht="30" customHeight="1">
      <c r="A11" s="50">
        <v>7</v>
      </c>
      <c r="B11" s="51" t="s">
        <v>797</v>
      </c>
      <c r="C11" s="5" t="s">
        <v>798</v>
      </c>
      <c r="D11" s="5" t="s">
        <v>799</v>
      </c>
      <c r="E11" s="52" t="s">
        <v>766</v>
      </c>
      <c r="F11" s="5" t="s">
        <v>800</v>
      </c>
      <c r="G11" s="5" t="s">
        <v>801</v>
      </c>
      <c r="H11" s="5" t="s">
        <v>802</v>
      </c>
      <c r="I11" s="5" t="s">
        <v>770</v>
      </c>
    </row>
    <row r="12" spans="1:9" ht="39" customHeight="1">
      <c r="A12" s="50">
        <v>8</v>
      </c>
      <c r="B12" s="51" t="s">
        <v>803</v>
      </c>
      <c r="C12" s="5" t="s">
        <v>804</v>
      </c>
      <c r="D12" s="5" t="s">
        <v>805</v>
      </c>
      <c r="E12" s="52" t="s">
        <v>806</v>
      </c>
      <c r="F12" s="5" t="s">
        <v>807</v>
      </c>
      <c r="G12" s="5" t="s">
        <v>808</v>
      </c>
      <c r="H12" s="5" t="s">
        <v>809</v>
      </c>
      <c r="I12" s="54" t="s">
        <v>810</v>
      </c>
    </row>
    <row r="13" spans="1:9" ht="39" customHeight="1">
      <c r="A13" s="50">
        <v>9</v>
      </c>
      <c r="B13" s="51" t="s">
        <v>811</v>
      </c>
      <c r="C13" s="5" t="s">
        <v>812</v>
      </c>
      <c r="D13" s="5" t="s">
        <v>813</v>
      </c>
      <c r="E13" s="52" t="s">
        <v>814</v>
      </c>
      <c r="F13" s="5" t="s">
        <v>815</v>
      </c>
      <c r="G13" s="5" t="s">
        <v>816</v>
      </c>
      <c r="H13" s="5" t="s">
        <v>769</v>
      </c>
      <c r="I13" s="5" t="s">
        <v>770</v>
      </c>
    </row>
    <row r="14" spans="1:9" ht="39" customHeight="1">
      <c r="A14" s="50">
        <v>10</v>
      </c>
      <c r="B14" s="51" t="s">
        <v>817</v>
      </c>
      <c r="C14" s="5" t="s">
        <v>818</v>
      </c>
      <c r="D14" s="5" t="s">
        <v>819</v>
      </c>
      <c r="E14" s="52" t="s">
        <v>766</v>
      </c>
      <c r="F14" s="5" t="s">
        <v>820</v>
      </c>
      <c r="G14" s="5" t="s">
        <v>821</v>
      </c>
      <c r="H14" s="5" t="s">
        <v>743</v>
      </c>
      <c r="I14" s="54" t="s">
        <v>910</v>
      </c>
    </row>
    <row r="15" spans="1:9" ht="30" customHeight="1">
      <c r="A15" s="50">
        <v>11</v>
      </c>
      <c r="B15" s="51" t="s">
        <v>823</v>
      </c>
      <c r="C15" s="5" t="s">
        <v>824</v>
      </c>
      <c r="D15" s="5" t="s">
        <v>825</v>
      </c>
      <c r="E15" s="53" t="s">
        <v>826</v>
      </c>
      <c r="F15" s="5" t="s">
        <v>827</v>
      </c>
      <c r="G15" s="5" t="s">
        <v>828</v>
      </c>
      <c r="H15" s="5" t="s">
        <v>769</v>
      </c>
      <c r="I15" s="54" t="s">
        <v>911</v>
      </c>
    </row>
    <row r="16" spans="1:9" ht="39" customHeight="1">
      <c r="A16" s="50">
        <v>12</v>
      </c>
      <c r="B16" s="51" t="s">
        <v>830</v>
      </c>
      <c r="C16" s="5" t="s">
        <v>831</v>
      </c>
      <c r="D16" s="5" t="s">
        <v>832</v>
      </c>
      <c r="E16" s="52" t="s">
        <v>766</v>
      </c>
      <c r="F16" s="5" t="s">
        <v>833</v>
      </c>
      <c r="G16" s="5" t="s">
        <v>834</v>
      </c>
      <c r="H16" s="5" t="s">
        <v>835</v>
      </c>
      <c r="I16" s="5" t="s">
        <v>836</v>
      </c>
    </row>
    <row r="17" spans="1:9" ht="39" customHeight="1">
      <c r="A17" s="50">
        <v>13</v>
      </c>
      <c r="B17" s="51" t="s">
        <v>837</v>
      </c>
      <c r="C17" s="5" t="s">
        <v>838</v>
      </c>
      <c r="D17" s="5" t="s">
        <v>839</v>
      </c>
      <c r="E17" s="53" t="s">
        <v>840</v>
      </c>
      <c r="F17" s="5" t="s">
        <v>775</v>
      </c>
      <c r="G17" s="5" t="s">
        <v>841</v>
      </c>
      <c r="H17" s="5" t="s">
        <v>842</v>
      </c>
      <c r="I17" s="5" t="s">
        <v>770</v>
      </c>
    </row>
    <row r="18" spans="1:9" ht="39" customHeight="1">
      <c r="A18" s="50">
        <v>14</v>
      </c>
      <c r="B18" s="51" t="s">
        <v>843</v>
      </c>
      <c r="C18" s="5" t="s">
        <v>844</v>
      </c>
      <c r="D18" s="5" t="s">
        <v>845</v>
      </c>
      <c r="E18" s="53" t="s">
        <v>846</v>
      </c>
      <c r="F18" s="5" t="s">
        <v>847</v>
      </c>
      <c r="G18" s="5" t="s">
        <v>912</v>
      </c>
      <c r="H18" s="5" t="s">
        <v>748</v>
      </c>
      <c r="I18" s="54" t="s">
        <v>770</v>
      </c>
    </row>
    <row r="19" spans="1:9" ht="30" customHeight="1">
      <c r="A19" s="50">
        <v>15</v>
      </c>
      <c r="B19" s="51" t="s">
        <v>80</v>
      </c>
      <c r="C19" s="5" t="s">
        <v>850</v>
      </c>
      <c r="D19" s="5" t="s">
        <v>851</v>
      </c>
      <c r="E19" s="53" t="s">
        <v>774</v>
      </c>
      <c r="F19" s="5" t="s">
        <v>852</v>
      </c>
      <c r="G19" s="5" t="s">
        <v>853</v>
      </c>
      <c r="H19" s="5" t="s">
        <v>650</v>
      </c>
      <c r="I19" s="5" t="s">
        <v>770</v>
      </c>
    </row>
    <row r="20" spans="1:9" ht="30" customHeight="1">
      <c r="A20" s="50">
        <v>16</v>
      </c>
      <c r="B20" s="51" t="s">
        <v>854</v>
      </c>
      <c r="C20" s="5" t="s">
        <v>855</v>
      </c>
      <c r="D20" s="5" t="s">
        <v>856</v>
      </c>
      <c r="E20" s="53" t="s">
        <v>937</v>
      </c>
      <c r="F20" s="5" t="s">
        <v>938</v>
      </c>
      <c r="G20" s="5" t="s">
        <v>939</v>
      </c>
      <c r="H20" s="5" t="s">
        <v>684</v>
      </c>
      <c r="I20" s="5" t="s">
        <v>770</v>
      </c>
    </row>
    <row r="21" spans="1:9" ht="30" customHeight="1">
      <c r="A21" s="50">
        <v>17</v>
      </c>
      <c r="B21" s="51" t="s">
        <v>858</v>
      </c>
      <c r="C21" s="5" t="s">
        <v>859</v>
      </c>
      <c r="D21" s="5" t="s">
        <v>860</v>
      </c>
      <c r="E21" s="53" t="s">
        <v>774</v>
      </c>
      <c r="F21" s="5" t="s">
        <v>775</v>
      </c>
      <c r="G21" s="5" t="s">
        <v>861</v>
      </c>
      <c r="H21" s="5" t="s">
        <v>769</v>
      </c>
      <c r="I21" s="5" t="s">
        <v>770</v>
      </c>
    </row>
    <row r="22" spans="1:9" ht="30" customHeight="1">
      <c r="A22" s="50">
        <v>18</v>
      </c>
      <c r="B22" s="51" t="s">
        <v>862</v>
      </c>
      <c r="C22" s="5" t="s">
        <v>863</v>
      </c>
      <c r="D22" s="5" t="s">
        <v>913</v>
      </c>
      <c r="E22" s="53" t="s">
        <v>766</v>
      </c>
      <c r="F22" s="5" t="s">
        <v>914</v>
      </c>
      <c r="G22" s="5" t="s">
        <v>915</v>
      </c>
      <c r="H22" s="5" t="s">
        <v>660</v>
      </c>
      <c r="I22" s="5" t="s">
        <v>770</v>
      </c>
    </row>
    <row r="23" spans="1:9" ht="30" customHeight="1">
      <c r="A23" s="50">
        <v>19</v>
      </c>
      <c r="B23" s="51" t="s">
        <v>867</v>
      </c>
      <c r="C23" s="5" t="s">
        <v>868</v>
      </c>
      <c r="D23" s="5" t="s">
        <v>869</v>
      </c>
      <c r="E23" s="53" t="s">
        <v>774</v>
      </c>
      <c r="F23" s="5" t="s">
        <v>775</v>
      </c>
      <c r="G23" s="5" t="s">
        <v>870</v>
      </c>
      <c r="H23" s="5" t="s">
        <v>769</v>
      </c>
      <c r="I23" s="5" t="s">
        <v>770</v>
      </c>
    </row>
    <row r="24" spans="1:9" ht="39" customHeight="1">
      <c r="A24" s="50">
        <v>20</v>
      </c>
      <c r="B24" s="51" t="s">
        <v>871</v>
      </c>
      <c r="C24" s="5" t="s">
        <v>872</v>
      </c>
      <c r="D24" s="5" t="s">
        <v>873</v>
      </c>
      <c r="E24" s="53" t="s">
        <v>874</v>
      </c>
      <c r="F24" s="5" t="s">
        <v>875</v>
      </c>
      <c r="G24" s="5" t="s">
        <v>916</v>
      </c>
      <c r="H24" s="5" t="s">
        <v>769</v>
      </c>
      <c r="I24" s="5" t="s">
        <v>770</v>
      </c>
    </row>
    <row r="25" spans="1:9" ht="30" customHeight="1">
      <c r="A25" s="50">
        <v>21</v>
      </c>
      <c r="B25" s="51" t="s">
        <v>877</v>
      </c>
      <c r="C25" s="5" t="s">
        <v>878</v>
      </c>
      <c r="D25" s="5" t="s">
        <v>879</v>
      </c>
      <c r="E25" s="52" t="s">
        <v>880</v>
      </c>
      <c r="F25" s="5" t="s">
        <v>881</v>
      </c>
      <c r="G25" s="5" t="s">
        <v>882</v>
      </c>
      <c r="H25" s="5" t="s">
        <v>769</v>
      </c>
      <c r="I25" s="5" t="s">
        <v>883</v>
      </c>
    </row>
    <row r="26" spans="1:9" ht="30" customHeight="1">
      <c r="A26" s="50">
        <v>22</v>
      </c>
      <c r="B26" s="51" t="s">
        <v>884</v>
      </c>
      <c r="C26" s="5" t="s">
        <v>885</v>
      </c>
      <c r="D26" s="5" t="s">
        <v>886</v>
      </c>
      <c r="E26" s="52" t="s">
        <v>887</v>
      </c>
      <c r="F26" s="5" t="s">
        <v>888</v>
      </c>
      <c r="G26" s="5" t="s">
        <v>940</v>
      </c>
      <c r="H26" s="5" t="s">
        <v>769</v>
      </c>
      <c r="I26" s="5" t="s">
        <v>770</v>
      </c>
    </row>
    <row r="27" spans="1:9" ht="30" customHeight="1">
      <c r="A27" s="50">
        <v>23</v>
      </c>
      <c r="B27" s="51" t="s">
        <v>890</v>
      </c>
      <c r="C27" s="5" t="s">
        <v>891</v>
      </c>
      <c r="D27" s="5" t="s">
        <v>941</v>
      </c>
      <c r="E27" s="52" t="s">
        <v>887</v>
      </c>
      <c r="F27" s="5" t="s">
        <v>888</v>
      </c>
      <c r="G27" s="5" t="s">
        <v>942</v>
      </c>
      <c r="H27" s="5" t="s">
        <v>769</v>
      </c>
      <c r="I27" s="5" t="s">
        <v>883</v>
      </c>
    </row>
    <row r="28" spans="1:9" ht="39" customHeight="1">
      <c r="A28" s="50">
        <v>24</v>
      </c>
      <c r="B28" s="51" t="s">
        <v>893</v>
      </c>
      <c r="C28" s="5" t="s">
        <v>894</v>
      </c>
      <c r="D28" s="5" t="s">
        <v>895</v>
      </c>
      <c r="E28" s="52" t="s">
        <v>806</v>
      </c>
      <c r="F28" s="5" t="s">
        <v>896</v>
      </c>
      <c r="G28" s="5" t="s">
        <v>889</v>
      </c>
      <c r="H28" s="5" t="s">
        <v>769</v>
      </c>
      <c r="I28" s="5" t="s">
        <v>770</v>
      </c>
    </row>
    <row r="29" spans="1:9" ht="30" customHeight="1">
      <c r="A29" s="50">
        <v>25</v>
      </c>
      <c r="B29" s="51" t="s">
        <v>897</v>
      </c>
      <c r="C29" s="5" t="s">
        <v>898</v>
      </c>
      <c r="D29" s="5" t="s">
        <v>899</v>
      </c>
      <c r="E29" s="52" t="s">
        <v>900</v>
      </c>
      <c r="F29" s="5" t="s">
        <v>901</v>
      </c>
      <c r="G29" s="5" t="s">
        <v>902</v>
      </c>
      <c r="H29" s="5" t="s">
        <v>769</v>
      </c>
      <c r="I29" s="54" t="s">
        <v>829</v>
      </c>
    </row>
  </sheetData>
  <autoFilter ref="A4:I29"/>
  <pageMargins left="0.4" right="0.4" top="0.5" bottom="0.5" header="0.3" footer="0.3"/>
  <pageSetup paperSize="9" fitToHeight="0" orientation="landscape"/>
</worksheet>
</file>